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oea\Desktop\hi this is an mt folder =D\"/>
    </mc:Choice>
  </mc:AlternateContent>
  <xr:revisionPtr revIDLastSave="0" documentId="13_ncr:1_{65BB8FFF-143E-44F4-905E-DFF9856B542E}" xr6:coauthVersionLast="36" xr6:coauthVersionMax="36" xr10:uidLastSave="{00000000-0000-0000-0000-000000000000}"/>
  <bookViews>
    <workbookView xWindow="0" yWindow="0" windowWidth="23040" windowHeight="8772" xr2:uid="{00000000-000D-0000-FFFF-FFFF00000000}"/>
  </bookViews>
  <sheets>
    <sheet name="Sheet2" sheetId="2" r:id="rId1"/>
    <sheet name="Sheet1" sheetId="1" r:id="rId2"/>
    <sheet name="Table" sheetId="3" r:id="rId3"/>
  </sheets>
  <definedNames>
    <definedName name="_xlnm._FilterDatabase" localSheetId="1" hidden="1">Sheet1!$F$13:$I$22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1" i="1" l="1"/>
  <c r="U5" i="2" l="1"/>
  <c r="I14" i="3"/>
  <c r="I14" i="2" s="1"/>
  <c r="I15" i="3"/>
  <c r="I15" i="2" s="1"/>
  <c r="I16" i="3"/>
  <c r="I20" i="2" s="1"/>
  <c r="I17" i="3"/>
  <c r="I8" i="2" s="1"/>
  <c r="I18" i="3"/>
  <c r="I13" i="2" s="1"/>
  <c r="I19" i="3"/>
  <c r="I6" i="2" s="1"/>
  <c r="I20" i="3"/>
  <c r="I17" i="2" s="1"/>
  <c r="I21" i="3"/>
  <c r="I3" i="2" s="1"/>
  <c r="I22" i="3"/>
  <c r="I4" i="2" s="1"/>
  <c r="I23" i="3"/>
  <c r="I5" i="2" s="1"/>
  <c r="I24" i="3"/>
  <c r="I9" i="2" s="1"/>
  <c r="I25" i="3"/>
  <c r="I16" i="2" s="1"/>
  <c r="I26" i="3"/>
  <c r="I18" i="2" s="1"/>
  <c r="I27" i="3"/>
  <c r="I22" i="2" s="1"/>
  <c r="I28" i="3"/>
  <c r="I19" i="2" s="1"/>
  <c r="I29" i="3"/>
  <c r="I7" i="2" s="1"/>
  <c r="I30" i="3"/>
  <c r="I21" i="2" s="1"/>
  <c r="I31" i="3"/>
  <c r="I11" i="2" s="1"/>
  <c r="I32" i="3"/>
  <c r="I12" i="2" s="1"/>
  <c r="I13" i="3"/>
  <c r="I10" i="2" s="1"/>
  <c r="W13" i="2" l="1"/>
  <c r="W12" i="2"/>
  <c r="W11" i="2"/>
  <c r="W10" i="2"/>
  <c r="W9" i="2"/>
  <c r="W8" i="2"/>
  <c r="W7" i="2"/>
  <c r="W6" i="2"/>
  <c r="W5" i="2"/>
  <c r="W4" i="2"/>
  <c r="U13" i="2"/>
  <c r="U12" i="2"/>
  <c r="U11" i="2"/>
  <c r="U10" i="2"/>
  <c r="U9" i="2"/>
  <c r="U8" i="2"/>
  <c r="U7" i="2"/>
  <c r="U6" i="2"/>
  <c r="U4" i="2"/>
  <c r="W13" i="1"/>
  <c r="N265" i="1"/>
  <c r="N276" i="1"/>
  <c r="N287" i="1"/>
  <c r="N298" i="1"/>
  <c r="N309" i="1"/>
  <c r="N320" i="1"/>
  <c r="N331" i="1"/>
  <c r="N342" i="1"/>
  <c r="N353" i="1"/>
  <c r="N364" i="1"/>
  <c r="N375" i="1"/>
  <c r="N386" i="1"/>
  <c r="N397" i="1"/>
  <c r="N408" i="1"/>
  <c r="N419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L221" i="1" s="1"/>
  <c r="M222" i="1"/>
  <c r="M223" i="1"/>
  <c r="M224" i="1"/>
  <c r="M225" i="1"/>
  <c r="M226" i="1"/>
  <c r="M227" i="1"/>
  <c r="M228" i="1"/>
  <c r="M229" i="1"/>
  <c r="M230" i="1"/>
  <c r="M232" i="1"/>
  <c r="N232" i="1" s="1"/>
  <c r="M233" i="1"/>
  <c r="M234" i="1"/>
  <c r="M235" i="1"/>
  <c r="M236" i="1"/>
  <c r="M237" i="1"/>
  <c r="M238" i="1"/>
  <c r="M239" i="1"/>
  <c r="M240" i="1"/>
  <c r="M241" i="1"/>
  <c r="M242" i="1"/>
  <c r="M243" i="1"/>
  <c r="N243" i="1" s="1"/>
  <c r="M244" i="1"/>
  <c r="M245" i="1"/>
  <c r="M246" i="1"/>
  <c r="M247" i="1"/>
  <c r="M248" i="1"/>
  <c r="M249" i="1"/>
  <c r="M250" i="1"/>
  <c r="M251" i="1"/>
  <c r="M252" i="1"/>
  <c r="M253" i="1"/>
  <c r="M254" i="1"/>
  <c r="L254" i="1" s="1"/>
  <c r="M255" i="1"/>
  <c r="M256" i="1"/>
  <c r="M257" i="1"/>
  <c r="M258" i="1"/>
  <c r="M259" i="1"/>
  <c r="M260" i="1"/>
  <c r="M261" i="1"/>
  <c r="M262" i="1"/>
  <c r="M263" i="1"/>
  <c r="M264" i="1"/>
  <c r="M265" i="1"/>
  <c r="L265" i="1" s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L298" i="1" s="1"/>
  <c r="M299" i="1"/>
  <c r="M300" i="1"/>
  <c r="M301" i="1"/>
  <c r="M302" i="1"/>
  <c r="M303" i="1"/>
  <c r="M304" i="1"/>
  <c r="M305" i="1"/>
  <c r="M306" i="1"/>
  <c r="M307" i="1"/>
  <c r="M308" i="1"/>
  <c r="M309" i="1"/>
  <c r="L309" i="1" s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L342" i="1" s="1"/>
  <c r="M343" i="1"/>
  <c r="M344" i="1"/>
  <c r="M345" i="1"/>
  <c r="M346" i="1"/>
  <c r="M347" i="1"/>
  <c r="M348" i="1"/>
  <c r="M349" i="1"/>
  <c r="M350" i="1"/>
  <c r="M351" i="1"/>
  <c r="M352" i="1"/>
  <c r="M353" i="1"/>
  <c r="L353" i="1" s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L386" i="1" s="1"/>
  <c r="M387" i="1"/>
  <c r="M388" i="1"/>
  <c r="M389" i="1"/>
  <c r="M390" i="1"/>
  <c r="M391" i="1"/>
  <c r="M392" i="1"/>
  <c r="M393" i="1"/>
  <c r="M394" i="1"/>
  <c r="M395" i="1"/>
  <c r="M396" i="1"/>
  <c r="M397" i="1"/>
  <c r="L397" i="1" s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Z2" i="1" s="1"/>
  <c r="M421" i="1"/>
  <c r="M422" i="1"/>
  <c r="Z4" i="1" s="1"/>
  <c r="M423" i="1"/>
  <c r="Z5" i="1" s="1"/>
  <c r="M424" i="1"/>
  <c r="Z6" i="1" s="1"/>
  <c r="M425" i="1"/>
  <c r="M426" i="1"/>
  <c r="Z8" i="1" s="1"/>
  <c r="M427" i="1"/>
  <c r="Z9" i="1" s="1"/>
  <c r="M428" i="1"/>
  <c r="Z10" i="1" s="1"/>
  <c r="M429" i="1"/>
  <c r="M2" i="1"/>
  <c r="L243" i="1"/>
  <c r="L276" i="1"/>
  <c r="L287" i="1"/>
  <c r="L320" i="1"/>
  <c r="L331" i="1"/>
  <c r="L364" i="1"/>
  <c r="L375" i="1"/>
  <c r="L408" i="1"/>
  <c r="L419" i="1"/>
  <c r="K221" i="1"/>
  <c r="K222" i="1"/>
  <c r="N222" i="1" s="1"/>
  <c r="K223" i="1"/>
  <c r="K224" i="1"/>
  <c r="K225" i="1"/>
  <c r="N225" i="1" s="1"/>
  <c r="K226" i="1"/>
  <c r="N226" i="1" s="1"/>
  <c r="K227" i="1"/>
  <c r="K228" i="1"/>
  <c r="K229" i="1"/>
  <c r="N229" i="1" s="1"/>
  <c r="K230" i="1"/>
  <c r="N230" i="1" s="1"/>
  <c r="K231" i="1"/>
  <c r="L231" i="1" s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N246" i="1" s="1"/>
  <c r="K247" i="1"/>
  <c r="K248" i="1"/>
  <c r="K249" i="1"/>
  <c r="K250" i="1"/>
  <c r="N250" i="1" s="1"/>
  <c r="K251" i="1"/>
  <c r="K252" i="1"/>
  <c r="K253" i="1"/>
  <c r="K254" i="1"/>
  <c r="K255" i="1"/>
  <c r="N255" i="1" s="1"/>
  <c r="K256" i="1"/>
  <c r="K257" i="1"/>
  <c r="K258" i="1"/>
  <c r="K259" i="1"/>
  <c r="L259" i="1" s="1"/>
  <c r="K260" i="1"/>
  <c r="K261" i="1"/>
  <c r="K262" i="1"/>
  <c r="K263" i="1"/>
  <c r="L263" i="1" s="1"/>
  <c r="K264" i="1"/>
  <c r="K265" i="1"/>
  <c r="K266" i="1"/>
  <c r="N266" i="1" s="1"/>
  <c r="K267" i="1"/>
  <c r="K268" i="1"/>
  <c r="K269" i="1"/>
  <c r="K270" i="1"/>
  <c r="N270" i="1" s="1"/>
  <c r="K271" i="1"/>
  <c r="K272" i="1"/>
  <c r="K273" i="1"/>
  <c r="K274" i="1"/>
  <c r="N274" i="1" s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N335" i="1" s="1"/>
  <c r="K336" i="1"/>
  <c r="K337" i="1"/>
  <c r="K338" i="1"/>
  <c r="K339" i="1"/>
  <c r="N339" i="1" s="1"/>
  <c r="K340" i="1"/>
  <c r="K341" i="1"/>
  <c r="N341" i="1" s="1"/>
  <c r="K342" i="1"/>
  <c r="K343" i="1"/>
  <c r="N343" i="1" s="1"/>
  <c r="K344" i="1"/>
  <c r="K345" i="1"/>
  <c r="K346" i="1"/>
  <c r="K347" i="1"/>
  <c r="L347" i="1" s="1"/>
  <c r="K348" i="1"/>
  <c r="K349" i="1"/>
  <c r="K350" i="1"/>
  <c r="K351" i="1"/>
  <c r="L351" i="1" s="1"/>
  <c r="K352" i="1"/>
  <c r="K353" i="1"/>
  <c r="K354" i="1"/>
  <c r="K355" i="1"/>
  <c r="K356" i="1"/>
  <c r="K357" i="1"/>
  <c r="K358" i="1"/>
  <c r="K359" i="1"/>
  <c r="K360" i="1"/>
  <c r="K361" i="1"/>
  <c r="K362" i="1"/>
  <c r="N362" i="1" s="1"/>
  <c r="K363" i="1"/>
  <c r="K364" i="1"/>
  <c r="K365" i="1"/>
  <c r="K366" i="1"/>
  <c r="K367" i="1"/>
  <c r="K368" i="1"/>
  <c r="L368" i="1" s="1"/>
  <c r="K369" i="1"/>
  <c r="K370" i="1"/>
  <c r="K371" i="1"/>
  <c r="K372" i="1"/>
  <c r="K373" i="1"/>
  <c r="K374" i="1"/>
  <c r="K375" i="1"/>
  <c r="K376" i="1"/>
  <c r="K377" i="1"/>
  <c r="K378" i="1"/>
  <c r="N378" i="1" s="1"/>
  <c r="K379" i="1"/>
  <c r="K380" i="1"/>
  <c r="K381" i="1"/>
  <c r="K382" i="1"/>
  <c r="N382" i="1" s="1"/>
  <c r="K383" i="1"/>
  <c r="K384" i="1"/>
  <c r="K385" i="1"/>
  <c r="K386" i="1"/>
  <c r="K387" i="1"/>
  <c r="K388" i="1"/>
  <c r="K389" i="1"/>
  <c r="N389" i="1" s="1"/>
  <c r="K390" i="1"/>
  <c r="N390" i="1" s="1"/>
  <c r="K391" i="1"/>
  <c r="K392" i="1"/>
  <c r="K393" i="1"/>
  <c r="K394" i="1"/>
  <c r="N394" i="1" s="1"/>
  <c r="K395" i="1"/>
  <c r="K396" i="1"/>
  <c r="K397" i="1"/>
  <c r="K398" i="1"/>
  <c r="K399" i="1"/>
  <c r="K400" i="1"/>
  <c r="K401" i="1"/>
  <c r="K402" i="1"/>
  <c r="N402" i="1" s="1"/>
  <c r="K403" i="1"/>
  <c r="K404" i="1"/>
  <c r="K405" i="1"/>
  <c r="K406" i="1"/>
  <c r="N406" i="1" s="1"/>
  <c r="K407" i="1"/>
  <c r="K408" i="1"/>
  <c r="K409" i="1"/>
  <c r="K410" i="1"/>
  <c r="K411" i="1"/>
  <c r="L411" i="1" s="1"/>
  <c r="K412" i="1"/>
  <c r="K413" i="1"/>
  <c r="K414" i="1"/>
  <c r="K415" i="1"/>
  <c r="L415" i="1" s="1"/>
  <c r="K416" i="1"/>
  <c r="K417" i="1"/>
  <c r="K418" i="1"/>
  <c r="K419" i="1"/>
  <c r="K420" i="1"/>
  <c r="K421" i="1"/>
  <c r="K422" i="1"/>
  <c r="N422" i="1" s="1"/>
  <c r="K423" i="1"/>
  <c r="K424" i="1"/>
  <c r="K425" i="1"/>
  <c r="K426" i="1"/>
  <c r="N426" i="1" s="1"/>
  <c r="K427" i="1"/>
  <c r="K428" i="1"/>
  <c r="K429" i="1"/>
  <c r="I399" i="1"/>
  <c r="I250" i="1"/>
  <c r="I247" i="1"/>
  <c r="I249" i="1"/>
  <c r="I244" i="1"/>
  <c r="I253" i="1"/>
  <c r="I251" i="1"/>
  <c r="I245" i="1"/>
  <c r="I252" i="1"/>
  <c r="I248" i="1"/>
  <c r="I246" i="1"/>
  <c r="I257" i="1"/>
  <c r="I260" i="1"/>
  <c r="I258" i="1"/>
  <c r="I261" i="1"/>
  <c r="I259" i="1"/>
  <c r="I262" i="1"/>
  <c r="I256" i="1"/>
  <c r="I255" i="1"/>
  <c r="I263" i="1"/>
  <c r="I264" i="1"/>
  <c r="I275" i="1"/>
  <c r="I269" i="1"/>
  <c r="I273" i="1"/>
  <c r="I272" i="1"/>
  <c r="I271" i="1"/>
  <c r="I274" i="1"/>
  <c r="I267" i="1"/>
  <c r="I270" i="1"/>
  <c r="I266" i="1"/>
  <c r="I268" i="1"/>
  <c r="I286" i="1"/>
  <c r="I281" i="1"/>
  <c r="I282" i="1"/>
  <c r="I283" i="1"/>
  <c r="I277" i="1"/>
  <c r="I278" i="1"/>
  <c r="I279" i="1"/>
  <c r="I284" i="1"/>
  <c r="I280" i="1"/>
  <c r="I285" i="1"/>
  <c r="I288" i="1"/>
  <c r="I297" i="1"/>
  <c r="I294" i="1"/>
  <c r="I289" i="1"/>
  <c r="I295" i="1"/>
  <c r="I296" i="1"/>
  <c r="I293" i="1"/>
  <c r="I290" i="1"/>
  <c r="I292" i="1"/>
  <c r="I291" i="1"/>
  <c r="I301" i="1"/>
  <c r="I303" i="1"/>
  <c r="I300" i="1"/>
  <c r="I302" i="1"/>
  <c r="I308" i="1"/>
  <c r="I305" i="1"/>
  <c r="I299" i="1"/>
  <c r="I307" i="1"/>
  <c r="I304" i="1"/>
  <c r="I306" i="1"/>
  <c r="I316" i="1"/>
  <c r="I310" i="1"/>
  <c r="I319" i="1"/>
  <c r="I317" i="1"/>
  <c r="I312" i="1"/>
  <c r="I311" i="1"/>
  <c r="I313" i="1"/>
  <c r="I318" i="1"/>
  <c r="I314" i="1"/>
  <c r="I315" i="1"/>
  <c r="I328" i="1"/>
  <c r="I324" i="1"/>
  <c r="I323" i="1"/>
  <c r="I327" i="1"/>
  <c r="I325" i="1"/>
  <c r="I322" i="1"/>
  <c r="I321" i="1"/>
  <c r="I330" i="1"/>
  <c r="I329" i="1"/>
  <c r="I326" i="1"/>
  <c r="I334" i="1"/>
  <c r="I340" i="1"/>
  <c r="I339" i="1"/>
  <c r="I337" i="1"/>
  <c r="I338" i="1"/>
  <c r="I335" i="1"/>
  <c r="I336" i="1"/>
  <c r="I332" i="1"/>
  <c r="I341" i="1"/>
  <c r="I333" i="1"/>
  <c r="I350" i="1"/>
  <c r="I351" i="1"/>
  <c r="I348" i="1"/>
  <c r="I347" i="1"/>
  <c r="I352" i="1"/>
  <c r="I345" i="1"/>
  <c r="I343" i="1"/>
  <c r="I346" i="1"/>
  <c r="I344" i="1"/>
  <c r="I349" i="1"/>
  <c r="I357" i="1"/>
  <c r="I360" i="1"/>
  <c r="I359" i="1"/>
  <c r="I354" i="1"/>
  <c r="I362" i="1"/>
  <c r="I363" i="1"/>
  <c r="I361" i="1"/>
  <c r="I358" i="1"/>
  <c r="I355" i="1"/>
  <c r="I356" i="1"/>
  <c r="I368" i="1"/>
  <c r="I367" i="1"/>
  <c r="I365" i="1"/>
  <c r="I370" i="1"/>
  <c r="I366" i="1"/>
  <c r="I369" i="1"/>
  <c r="I371" i="1"/>
  <c r="I374" i="1"/>
  <c r="I373" i="1"/>
  <c r="I372" i="1"/>
  <c r="I379" i="1"/>
  <c r="I381" i="1"/>
  <c r="I382" i="1"/>
  <c r="I378" i="1"/>
  <c r="I383" i="1"/>
  <c r="I384" i="1"/>
  <c r="I380" i="1"/>
  <c r="I377" i="1"/>
  <c r="I385" i="1"/>
  <c r="I376" i="1"/>
  <c r="I391" i="1"/>
  <c r="I387" i="1"/>
  <c r="I394" i="1"/>
  <c r="I389" i="1"/>
  <c r="I390" i="1"/>
  <c r="I395" i="1"/>
  <c r="I388" i="1"/>
  <c r="I396" i="1"/>
  <c r="I392" i="1"/>
  <c r="I393" i="1"/>
  <c r="I403" i="1"/>
  <c r="I406" i="1"/>
  <c r="I405" i="1"/>
  <c r="I404" i="1"/>
  <c r="I407" i="1"/>
  <c r="I402" i="1"/>
  <c r="I401" i="1"/>
  <c r="I398" i="1"/>
  <c r="I400" i="1"/>
  <c r="I409" i="1"/>
  <c r="I410" i="1"/>
  <c r="I414" i="1"/>
  <c r="I415" i="1"/>
  <c r="I416" i="1"/>
  <c r="I418" i="1"/>
  <c r="I417" i="1"/>
  <c r="I412" i="1"/>
  <c r="I411" i="1"/>
  <c r="I413" i="1"/>
  <c r="I420" i="1"/>
  <c r="I422" i="1"/>
  <c r="I425" i="1"/>
  <c r="I427" i="1"/>
  <c r="I421" i="1"/>
  <c r="I424" i="1"/>
  <c r="I426" i="1"/>
  <c r="I429" i="1"/>
  <c r="I428" i="1"/>
  <c r="I423" i="1"/>
  <c r="I21" i="1"/>
  <c r="I22" i="1"/>
  <c r="I15" i="1"/>
  <c r="I20" i="1"/>
  <c r="I13" i="1"/>
  <c r="I16" i="1"/>
  <c r="I14" i="1"/>
  <c r="I19" i="1"/>
  <c r="I17" i="1"/>
  <c r="I30" i="1"/>
  <c r="I33" i="1"/>
  <c r="I26" i="1"/>
  <c r="I28" i="1"/>
  <c r="I32" i="1"/>
  <c r="I31" i="1"/>
  <c r="I29" i="1"/>
  <c r="I25" i="1"/>
  <c r="I27" i="1"/>
  <c r="I24" i="1"/>
  <c r="I39" i="1"/>
  <c r="I44" i="1"/>
  <c r="I40" i="1"/>
  <c r="I36" i="1"/>
  <c r="I37" i="1"/>
  <c r="I42" i="1"/>
  <c r="I43" i="1"/>
  <c r="I35" i="1"/>
  <c r="I38" i="1"/>
  <c r="I41" i="1"/>
  <c r="I52" i="1"/>
  <c r="I49" i="1"/>
  <c r="I55" i="1"/>
  <c r="I54" i="1"/>
  <c r="I48" i="1"/>
  <c r="I51" i="1"/>
  <c r="I46" i="1"/>
  <c r="I50" i="1"/>
  <c r="I47" i="1"/>
  <c r="I53" i="1"/>
  <c r="I59" i="1"/>
  <c r="I57" i="1"/>
  <c r="I60" i="1"/>
  <c r="I63" i="1"/>
  <c r="I66" i="1"/>
  <c r="I58" i="1"/>
  <c r="I62" i="1"/>
  <c r="I61" i="1"/>
  <c r="I65" i="1"/>
  <c r="I64" i="1"/>
  <c r="I74" i="1"/>
  <c r="I73" i="1"/>
  <c r="I68" i="1"/>
  <c r="I72" i="1"/>
  <c r="I76" i="1"/>
  <c r="I75" i="1"/>
  <c r="I77" i="1"/>
  <c r="I70" i="1"/>
  <c r="I69" i="1"/>
  <c r="I71" i="1"/>
  <c r="I84" i="1"/>
  <c r="I81" i="1"/>
  <c r="I85" i="1"/>
  <c r="I82" i="1"/>
  <c r="I79" i="1"/>
  <c r="I80" i="1"/>
  <c r="I86" i="1"/>
  <c r="I83" i="1"/>
  <c r="I87" i="1"/>
  <c r="I88" i="1"/>
  <c r="I93" i="1"/>
  <c r="I91" i="1"/>
  <c r="I94" i="1"/>
  <c r="I98" i="1"/>
  <c r="I97" i="1"/>
  <c r="I92" i="1"/>
  <c r="I99" i="1"/>
  <c r="I95" i="1"/>
  <c r="I90" i="1"/>
  <c r="I96" i="1"/>
  <c r="I105" i="1"/>
  <c r="I109" i="1"/>
  <c r="I102" i="1"/>
  <c r="I101" i="1"/>
  <c r="I104" i="1"/>
  <c r="I108" i="1"/>
  <c r="I110" i="1"/>
  <c r="I103" i="1"/>
  <c r="I106" i="1"/>
  <c r="I107" i="1"/>
  <c r="I115" i="1"/>
  <c r="I119" i="1"/>
  <c r="I113" i="1"/>
  <c r="I117" i="1"/>
  <c r="I116" i="1"/>
  <c r="I120" i="1"/>
  <c r="I114" i="1"/>
  <c r="I112" i="1"/>
  <c r="I121" i="1"/>
  <c r="I118" i="1"/>
  <c r="I125" i="1"/>
  <c r="I130" i="1"/>
  <c r="I128" i="1"/>
  <c r="I123" i="1"/>
  <c r="I126" i="1"/>
  <c r="I124" i="1"/>
  <c r="I129" i="1"/>
  <c r="I131" i="1"/>
  <c r="I132" i="1"/>
  <c r="I127" i="1"/>
  <c r="I135" i="1"/>
  <c r="I139" i="1"/>
  <c r="I143" i="1"/>
  <c r="I142" i="1"/>
  <c r="I141" i="1"/>
  <c r="I134" i="1"/>
  <c r="I137" i="1"/>
  <c r="I140" i="1"/>
  <c r="I138" i="1"/>
  <c r="I136" i="1"/>
  <c r="I150" i="1"/>
  <c r="I146" i="1"/>
  <c r="I147" i="1"/>
  <c r="I151" i="1"/>
  <c r="I153" i="1"/>
  <c r="I149" i="1"/>
  <c r="I148" i="1"/>
  <c r="I152" i="1"/>
  <c r="I154" i="1"/>
  <c r="I145" i="1"/>
  <c r="I157" i="1"/>
  <c r="I160" i="1"/>
  <c r="I161" i="1"/>
  <c r="I163" i="1"/>
  <c r="I162" i="1"/>
  <c r="I159" i="1"/>
  <c r="I164" i="1"/>
  <c r="I158" i="1"/>
  <c r="I156" i="1"/>
  <c r="I165" i="1"/>
  <c r="I169" i="1"/>
  <c r="I167" i="1"/>
  <c r="I170" i="1"/>
  <c r="I173" i="1"/>
  <c r="I172" i="1"/>
  <c r="I168" i="1"/>
  <c r="I171" i="1"/>
  <c r="I174" i="1"/>
  <c r="I175" i="1"/>
  <c r="I176" i="1"/>
  <c r="I183" i="1"/>
  <c r="I182" i="1"/>
  <c r="I180" i="1"/>
  <c r="I181" i="1"/>
  <c r="I179" i="1"/>
  <c r="I185" i="1"/>
  <c r="I178" i="1"/>
  <c r="I184" i="1"/>
  <c r="I186" i="1"/>
  <c r="I187" i="1"/>
  <c r="I191" i="1"/>
  <c r="I189" i="1"/>
  <c r="I190" i="1"/>
  <c r="I193" i="1"/>
  <c r="I195" i="1"/>
  <c r="I196" i="1"/>
  <c r="I194" i="1"/>
  <c r="I192" i="1"/>
  <c r="I197" i="1"/>
  <c r="I198" i="1"/>
  <c r="I200" i="1"/>
  <c r="I202" i="1"/>
  <c r="I206" i="1"/>
  <c r="I201" i="1"/>
  <c r="I203" i="1"/>
  <c r="I204" i="1"/>
  <c r="I207" i="1"/>
  <c r="I205" i="1"/>
  <c r="I208" i="1"/>
  <c r="I209" i="1"/>
  <c r="I217" i="1"/>
  <c r="I212" i="1"/>
  <c r="I214" i="1"/>
  <c r="I215" i="1"/>
  <c r="I213" i="1"/>
  <c r="I216" i="1"/>
  <c r="I211" i="1"/>
  <c r="I218" i="1"/>
  <c r="I219" i="1"/>
  <c r="I220" i="1"/>
  <c r="I229" i="1"/>
  <c r="I227" i="1"/>
  <c r="I228" i="1"/>
  <c r="I222" i="1"/>
  <c r="I225" i="1"/>
  <c r="I224" i="1"/>
  <c r="I230" i="1"/>
  <c r="I223" i="1"/>
  <c r="I226" i="1"/>
  <c r="I231" i="1"/>
  <c r="I237" i="1"/>
  <c r="I239" i="1"/>
  <c r="I241" i="1"/>
  <c r="I233" i="1"/>
  <c r="I234" i="1"/>
  <c r="I242" i="1"/>
  <c r="I235" i="1"/>
  <c r="I240" i="1"/>
  <c r="I236" i="1"/>
  <c r="I238" i="1"/>
  <c r="I18" i="1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44" i="3"/>
  <c r="C4" i="1"/>
  <c r="C8" i="1"/>
  <c r="C9" i="1"/>
  <c r="C5" i="1"/>
  <c r="C18" i="1"/>
  <c r="C12" i="1"/>
  <c r="C20" i="1"/>
  <c r="C6" i="1"/>
  <c r="C3" i="1"/>
  <c r="C19" i="1"/>
  <c r="C2" i="1"/>
  <c r="C15" i="1"/>
  <c r="C11" i="1"/>
  <c r="C13" i="1"/>
  <c r="C17" i="1"/>
  <c r="C7" i="1"/>
  <c r="C10" i="1"/>
  <c r="C14" i="1"/>
  <c r="C16" i="1"/>
  <c r="C21" i="1"/>
  <c r="F14" i="2"/>
  <c r="F4" i="2"/>
  <c r="F15" i="2"/>
  <c r="F16" i="2"/>
  <c r="F18" i="2"/>
  <c r="F13" i="2"/>
  <c r="F3" i="2"/>
  <c r="F19" i="2"/>
  <c r="F10" i="2"/>
  <c r="F12" i="2"/>
  <c r="F22" i="2"/>
  <c r="F11" i="2"/>
  <c r="F8" i="2"/>
  <c r="F9" i="2"/>
  <c r="F7" i="2"/>
  <c r="F21" i="2"/>
  <c r="F5" i="2"/>
  <c r="F17" i="2"/>
  <c r="F20" i="2"/>
  <c r="F6" i="2"/>
  <c r="R5" i="2"/>
  <c r="R6" i="2"/>
  <c r="R7" i="2"/>
  <c r="R8" i="2"/>
  <c r="R9" i="2"/>
  <c r="R10" i="2"/>
  <c r="R11" i="2"/>
  <c r="R12" i="2"/>
  <c r="R13" i="2"/>
  <c r="R4" i="2"/>
  <c r="Q5" i="2"/>
  <c r="Q6" i="2"/>
  <c r="Q7" i="2"/>
  <c r="Q8" i="2"/>
  <c r="Q9" i="2"/>
  <c r="Q10" i="2"/>
  <c r="Q11" i="2"/>
  <c r="Q12" i="2"/>
  <c r="Q13" i="2"/>
  <c r="Q4" i="2"/>
  <c r="O5" i="2"/>
  <c r="O6" i="2"/>
  <c r="O7" i="2"/>
  <c r="O8" i="2"/>
  <c r="O9" i="2"/>
  <c r="O10" i="2"/>
  <c r="O11" i="2"/>
  <c r="O12" i="2"/>
  <c r="O13" i="2"/>
  <c r="O4" i="2"/>
  <c r="L5" i="2"/>
  <c r="L6" i="2"/>
  <c r="L7" i="2"/>
  <c r="L8" i="2"/>
  <c r="L9" i="2"/>
  <c r="L10" i="2"/>
  <c r="L11" i="2"/>
  <c r="L12" i="2"/>
  <c r="L13" i="2"/>
  <c r="L4" i="2"/>
  <c r="N421" i="1" l="1"/>
  <c r="N338" i="1"/>
  <c r="Z11" i="1"/>
  <c r="Z7" i="1"/>
  <c r="Z3" i="1"/>
  <c r="N393" i="1"/>
  <c r="N417" i="1"/>
  <c r="N373" i="1"/>
  <c r="L295" i="1"/>
  <c r="L291" i="1"/>
  <c r="N405" i="1"/>
  <c r="N377" i="1"/>
  <c r="L352" i="1"/>
  <c r="N369" i="1"/>
  <c r="N365" i="1"/>
  <c r="N416" i="1"/>
  <c r="N425" i="1"/>
  <c r="L412" i="1"/>
  <c r="N400" i="1"/>
  <c r="N337" i="1"/>
  <c r="N428" i="1"/>
  <c r="N424" i="1"/>
  <c r="L420" i="1"/>
  <c r="L323" i="1"/>
  <c r="L275" i="1"/>
  <c r="L271" i="1"/>
  <c r="L267" i="1"/>
  <c r="N404" i="1"/>
  <c r="N392" i="1"/>
  <c r="N361" i="1"/>
  <c r="N357" i="1"/>
  <c r="L264" i="1"/>
  <c r="L260" i="1"/>
  <c r="N429" i="1"/>
  <c r="N396" i="1"/>
  <c r="L388" i="1"/>
  <c r="N333" i="1"/>
  <c r="N261" i="1"/>
  <c r="L356" i="1"/>
  <c r="L336" i="1"/>
  <c r="L328" i="1"/>
  <c r="N360" i="1"/>
  <c r="L340" i="1"/>
  <c r="L332" i="1"/>
  <c r="N334" i="1"/>
  <c r="N324" i="1"/>
  <c r="L284" i="1"/>
  <c r="L280" i="1"/>
  <c r="L380" i="1"/>
  <c r="N272" i="1"/>
  <c r="N268" i="1"/>
  <c r="L308" i="1"/>
  <c r="L304" i="1"/>
  <c r="L300" i="1"/>
  <c r="V9" i="1"/>
  <c r="V5" i="1"/>
  <c r="N316" i="1"/>
  <c r="L312" i="1"/>
  <c r="V11" i="1"/>
  <c r="V10" i="1"/>
  <c r="V8" i="1"/>
  <c r="V7" i="1"/>
  <c r="V6" i="1"/>
  <c r="V4" i="1"/>
  <c r="V3" i="1"/>
  <c r="V2" i="1"/>
  <c r="L407" i="1"/>
  <c r="L403" i="1"/>
  <c r="N399" i="1"/>
  <c r="N317" i="1"/>
  <c r="N313" i="1"/>
  <c r="N427" i="1"/>
  <c r="N423" i="1"/>
  <c r="N363" i="1"/>
  <c r="N359" i="1"/>
  <c r="N355" i="1"/>
  <c r="N319" i="1"/>
  <c r="N315" i="1"/>
  <c r="N311" i="1"/>
  <c r="L283" i="1"/>
  <c r="L279" i="1"/>
  <c r="N239" i="1"/>
  <c r="L235" i="1"/>
  <c r="N420" i="1"/>
  <c r="N381" i="1"/>
  <c r="L374" i="1"/>
  <c r="L322" i="1"/>
  <c r="N327" i="1"/>
  <c r="N358" i="1"/>
  <c r="L286" i="1"/>
  <c r="L285" i="1"/>
  <c r="L281" i="1"/>
  <c r="L277" i="1"/>
  <c r="L318" i="1"/>
  <c r="L314" i="1"/>
  <c r="L310" i="1"/>
  <c r="L297" i="1"/>
  <c r="L293" i="1"/>
  <c r="L289" i="1"/>
  <c r="N254" i="1"/>
  <c r="Q254" i="1" s="1"/>
  <c r="L424" i="1"/>
  <c r="L423" i="1"/>
  <c r="L426" i="1"/>
  <c r="Q426" i="1" s="1"/>
  <c r="L422" i="1"/>
  <c r="R422" i="1" s="1"/>
  <c r="L425" i="1"/>
  <c r="L421" i="1"/>
  <c r="N415" i="1"/>
  <c r="N411" i="1"/>
  <c r="L399" i="1"/>
  <c r="L394" i="1"/>
  <c r="O394" i="1" s="1"/>
  <c r="P394" i="1" s="1"/>
  <c r="L390" i="1"/>
  <c r="Q390" i="1" s="1"/>
  <c r="N388" i="1"/>
  <c r="L392" i="1"/>
  <c r="R392" i="1" s="1"/>
  <c r="L393" i="1"/>
  <c r="L389" i="1"/>
  <c r="R389" i="1" s="1"/>
  <c r="N395" i="1"/>
  <c r="N391" i="1"/>
  <c r="N387" i="1"/>
  <c r="N383" i="1"/>
  <c r="N379" i="1"/>
  <c r="L371" i="1"/>
  <c r="L367" i="1"/>
  <c r="L373" i="1"/>
  <c r="N354" i="1"/>
  <c r="L360" i="1"/>
  <c r="L359" i="1"/>
  <c r="L349" i="1"/>
  <c r="N350" i="1"/>
  <c r="L333" i="1"/>
  <c r="O333" i="1" s="1"/>
  <c r="P333" i="1" s="1"/>
  <c r="N336" i="1"/>
  <c r="N332" i="1"/>
  <c r="L339" i="1"/>
  <c r="Q339" i="1" s="1"/>
  <c r="L327" i="1"/>
  <c r="L319" i="1"/>
  <c r="L311" i="1"/>
  <c r="N308" i="1"/>
  <c r="N304" i="1"/>
  <c r="N300" i="1"/>
  <c r="N306" i="1"/>
  <c r="N302" i="1"/>
  <c r="N290" i="1"/>
  <c r="N294" i="1"/>
  <c r="N297" i="1"/>
  <c r="N293" i="1"/>
  <c r="N289" i="1"/>
  <c r="N285" i="1"/>
  <c r="N281" i="1"/>
  <c r="N277" i="1"/>
  <c r="L272" i="1"/>
  <c r="N263" i="1"/>
  <c r="R263" i="1" s="1"/>
  <c r="N259" i="1"/>
  <c r="R259" i="1" s="1"/>
  <c r="L255" i="1"/>
  <c r="R255" i="1" s="1"/>
  <c r="L246" i="1"/>
  <c r="O246" i="1" s="1"/>
  <c r="P246" i="1" s="1"/>
  <c r="L253" i="1"/>
  <c r="L249" i="1"/>
  <c r="L245" i="1"/>
  <c r="L250" i="1"/>
  <c r="R250" i="1" s="1"/>
  <c r="L242" i="1"/>
  <c r="L234" i="1"/>
  <c r="L238" i="1"/>
  <c r="L229" i="1"/>
  <c r="Q229" i="1" s="1"/>
  <c r="L225" i="1"/>
  <c r="R225" i="1" s="1"/>
  <c r="L230" i="1"/>
  <c r="R230" i="1" s="1"/>
  <c r="L222" i="1"/>
  <c r="Q222" i="1" s="1"/>
  <c r="L226" i="1"/>
  <c r="R226" i="1" s="1"/>
  <c r="L429" i="1"/>
  <c r="L428" i="1"/>
  <c r="L427" i="1"/>
  <c r="L418" i="1"/>
  <c r="L417" i="1"/>
  <c r="L416" i="1"/>
  <c r="L414" i="1"/>
  <c r="L413" i="1"/>
  <c r="N412" i="1"/>
  <c r="L410" i="1"/>
  <c r="L409" i="1"/>
  <c r="N418" i="1"/>
  <c r="N414" i="1"/>
  <c r="N413" i="1"/>
  <c r="N410" i="1"/>
  <c r="N409" i="1"/>
  <c r="N401" i="1"/>
  <c r="N407" i="1"/>
  <c r="O407" i="1" s="1"/>
  <c r="P407" i="1" s="1"/>
  <c r="L406" i="1"/>
  <c r="O406" i="1" s="1"/>
  <c r="P406" i="1" s="1"/>
  <c r="L404" i="1"/>
  <c r="L405" i="1"/>
  <c r="N403" i="1"/>
  <c r="L402" i="1"/>
  <c r="R402" i="1" s="1"/>
  <c r="L401" i="1"/>
  <c r="L400" i="1"/>
  <c r="N398" i="1"/>
  <c r="L398" i="1"/>
  <c r="L396" i="1"/>
  <c r="L395" i="1"/>
  <c r="L391" i="1"/>
  <c r="L387" i="1"/>
  <c r="N385" i="1"/>
  <c r="L384" i="1"/>
  <c r="L376" i="1"/>
  <c r="L385" i="1"/>
  <c r="N384" i="1"/>
  <c r="L383" i="1"/>
  <c r="L382" i="1"/>
  <c r="R382" i="1" s="1"/>
  <c r="L381" i="1"/>
  <c r="N380" i="1"/>
  <c r="L379" i="1"/>
  <c r="L378" i="1"/>
  <c r="O378" i="1" s="1"/>
  <c r="P378" i="1" s="1"/>
  <c r="L377" i="1"/>
  <c r="Q377" i="1" s="1"/>
  <c r="N376" i="1"/>
  <c r="L372" i="1"/>
  <c r="N371" i="1"/>
  <c r="L370" i="1"/>
  <c r="L369" i="1"/>
  <c r="L366" i="1"/>
  <c r="L365" i="1"/>
  <c r="Q365" i="1" s="1"/>
  <c r="N367" i="1"/>
  <c r="N368" i="1"/>
  <c r="Q368" i="1" s="1"/>
  <c r="N352" i="1"/>
  <c r="N348" i="1"/>
  <c r="N351" i="1"/>
  <c r="O351" i="1" s="1"/>
  <c r="P351" i="1" s="1"/>
  <c r="L350" i="1"/>
  <c r="N347" i="1"/>
  <c r="O347" i="1" s="1"/>
  <c r="P347" i="1" s="1"/>
  <c r="L343" i="1"/>
  <c r="R343" i="1" s="1"/>
  <c r="L346" i="1"/>
  <c r="L345" i="1"/>
  <c r="N344" i="1"/>
  <c r="L330" i="1"/>
  <c r="L326" i="1"/>
  <c r="L329" i="1"/>
  <c r="N328" i="1"/>
  <c r="L325" i="1"/>
  <c r="L321" i="1"/>
  <c r="L324" i="1"/>
  <c r="N323" i="1"/>
  <c r="N372" i="1"/>
  <c r="N374" i="1"/>
  <c r="N370" i="1"/>
  <c r="L361" i="1"/>
  <c r="L363" i="1"/>
  <c r="L362" i="1"/>
  <c r="O362" i="1" s="1"/>
  <c r="P362" i="1" s="1"/>
  <c r="N349" i="1"/>
  <c r="L348" i="1"/>
  <c r="L338" i="1"/>
  <c r="N340" i="1"/>
  <c r="L341" i="1"/>
  <c r="Q341" i="1" s="1"/>
  <c r="L337" i="1"/>
  <c r="N330" i="1"/>
  <c r="N326" i="1"/>
  <c r="N329" i="1"/>
  <c r="N366" i="1"/>
  <c r="L357" i="1"/>
  <c r="O357" i="1" s="1"/>
  <c r="P357" i="1" s="1"/>
  <c r="N356" i="1"/>
  <c r="L355" i="1"/>
  <c r="L358" i="1"/>
  <c r="L354" i="1"/>
  <c r="L344" i="1"/>
  <c r="N346" i="1"/>
  <c r="N345" i="1"/>
  <c r="L335" i="1"/>
  <c r="O335" i="1" s="1"/>
  <c r="P335" i="1" s="1"/>
  <c r="L334" i="1"/>
  <c r="N322" i="1"/>
  <c r="N325" i="1"/>
  <c r="N321" i="1"/>
  <c r="N310" i="1"/>
  <c r="N318" i="1"/>
  <c r="N314" i="1"/>
  <c r="N307" i="1"/>
  <c r="N303" i="1"/>
  <c r="N299" i="1"/>
  <c r="L306" i="1"/>
  <c r="L302" i="1"/>
  <c r="L305" i="1"/>
  <c r="L301" i="1"/>
  <c r="N296" i="1"/>
  <c r="L292" i="1"/>
  <c r="L288" i="1"/>
  <c r="N284" i="1"/>
  <c r="N280" i="1"/>
  <c r="N283" i="1"/>
  <c r="N279" i="1"/>
  <c r="L282" i="1"/>
  <c r="L278" i="1"/>
  <c r="N273" i="1"/>
  <c r="N269" i="1"/>
  <c r="N264" i="1"/>
  <c r="L262" i="1"/>
  <c r="L258" i="1"/>
  <c r="L261" i="1"/>
  <c r="L257" i="1"/>
  <c r="N260" i="1"/>
  <c r="N256" i="1"/>
  <c r="N247" i="1"/>
  <c r="N251" i="1"/>
  <c r="L241" i="1"/>
  <c r="L237" i="1"/>
  <c r="L233" i="1"/>
  <c r="N240" i="1"/>
  <c r="N236" i="1"/>
  <c r="L239" i="1"/>
  <c r="N235" i="1"/>
  <c r="L316" i="1"/>
  <c r="L315" i="1"/>
  <c r="L317" i="1"/>
  <c r="L313" i="1"/>
  <c r="N312" i="1"/>
  <c r="L303" i="1"/>
  <c r="N305" i="1"/>
  <c r="N301" i="1"/>
  <c r="L307" i="1"/>
  <c r="L299" i="1"/>
  <c r="N292" i="1"/>
  <c r="N288" i="1"/>
  <c r="L296" i="1"/>
  <c r="N295" i="1"/>
  <c r="N291" i="1"/>
  <c r="L294" i="1"/>
  <c r="L290" i="1"/>
  <c r="N286" i="1"/>
  <c r="O286" i="1" s="1"/>
  <c r="P286" i="1" s="1"/>
  <c r="N282" i="1"/>
  <c r="N278" i="1"/>
  <c r="N275" i="1"/>
  <c r="R275" i="1" s="1"/>
  <c r="N271" i="1"/>
  <c r="N267" i="1"/>
  <c r="L268" i="1"/>
  <c r="L274" i="1"/>
  <c r="Q274" i="1" s="1"/>
  <c r="L270" i="1"/>
  <c r="Q270" i="1" s="1"/>
  <c r="L266" i="1"/>
  <c r="Q266" i="1" s="1"/>
  <c r="O419" i="1"/>
  <c r="P419" i="1" s="1"/>
  <c r="L273" i="1"/>
  <c r="L269" i="1"/>
  <c r="N262" i="1"/>
  <c r="N258" i="1"/>
  <c r="L251" i="1"/>
  <c r="N252" i="1"/>
  <c r="N248" i="1"/>
  <c r="N244" i="1"/>
  <c r="L247" i="1"/>
  <c r="N238" i="1"/>
  <c r="N242" i="1"/>
  <c r="N234" i="1"/>
  <c r="L256" i="1"/>
  <c r="L240" i="1"/>
  <c r="N257" i="1"/>
  <c r="N253" i="1"/>
  <c r="N249" i="1"/>
  <c r="N245" i="1"/>
  <c r="N241" i="1"/>
  <c r="N237" i="1"/>
  <c r="N233" i="1"/>
  <c r="L248" i="1"/>
  <c r="L232" i="1"/>
  <c r="Q232" i="1" s="1"/>
  <c r="N228" i="1"/>
  <c r="L224" i="1"/>
  <c r="L252" i="1"/>
  <c r="L244" i="1"/>
  <c r="L236" i="1"/>
  <c r="N227" i="1"/>
  <c r="L223" i="1"/>
  <c r="N221" i="1"/>
  <c r="O221" i="1" s="1"/>
  <c r="P221" i="1" s="1"/>
  <c r="L228" i="1"/>
  <c r="L227" i="1"/>
  <c r="N224" i="1"/>
  <c r="N231" i="1"/>
  <c r="O231" i="1" s="1"/>
  <c r="P231" i="1" s="1"/>
  <c r="N223" i="1"/>
  <c r="O320" i="1"/>
  <c r="P320" i="1" s="1"/>
  <c r="R342" i="1"/>
  <c r="O342" i="1"/>
  <c r="P342" i="1" s="1"/>
  <c r="Q342" i="1"/>
  <c r="Q298" i="1"/>
  <c r="R298" i="1"/>
  <c r="O298" i="1"/>
  <c r="P298" i="1" s="1"/>
  <c r="O276" i="1"/>
  <c r="P276" i="1" s="1"/>
  <c r="Q276" i="1"/>
  <c r="R276" i="1"/>
  <c r="O386" i="1"/>
  <c r="P386" i="1" s="1"/>
  <c r="Q386" i="1"/>
  <c r="R386" i="1"/>
  <c r="Q309" i="1"/>
  <c r="O309" i="1"/>
  <c r="P309" i="1" s="1"/>
  <c r="R309" i="1"/>
  <c r="R265" i="1"/>
  <c r="Q265" i="1"/>
  <c r="O265" i="1"/>
  <c r="P265" i="1" s="1"/>
  <c r="Q364" i="1"/>
  <c r="R364" i="1"/>
  <c r="O364" i="1"/>
  <c r="P364" i="1" s="1"/>
  <c r="O331" i="1"/>
  <c r="P331" i="1" s="1"/>
  <c r="Q331" i="1"/>
  <c r="R331" i="1"/>
  <c r="Q397" i="1"/>
  <c r="R397" i="1"/>
  <c r="O397" i="1"/>
  <c r="P397" i="1" s="1"/>
  <c r="Q353" i="1"/>
  <c r="O353" i="1"/>
  <c r="P353" i="1" s="1"/>
  <c r="R353" i="1"/>
  <c r="Q408" i="1"/>
  <c r="R408" i="1"/>
  <c r="O408" i="1"/>
  <c r="P408" i="1" s="1"/>
  <c r="R419" i="1"/>
  <c r="Q419" i="1"/>
  <c r="R243" i="1"/>
  <c r="O243" i="1"/>
  <c r="P243" i="1" s="1"/>
  <c r="Q243" i="1"/>
  <c r="R375" i="1"/>
  <c r="O375" i="1"/>
  <c r="P375" i="1" s="1"/>
  <c r="Q375" i="1"/>
  <c r="R287" i="1"/>
  <c r="O287" i="1"/>
  <c r="P287" i="1" s="1"/>
  <c r="Q287" i="1"/>
  <c r="R320" i="1"/>
  <c r="Q320" i="1"/>
  <c r="G21" i="2"/>
  <c r="G22" i="2"/>
  <c r="G19" i="2"/>
  <c r="G5" i="2"/>
  <c r="G6" i="2"/>
  <c r="G9" i="2"/>
  <c r="G17" i="2"/>
  <c r="G12" i="2"/>
  <c r="G10" i="2"/>
  <c r="G3" i="2"/>
  <c r="G8" i="2"/>
  <c r="G11" i="2"/>
  <c r="G4" i="2"/>
  <c r="G7" i="2"/>
  <c r="G15" i="2"/>
  <c r="G18" i="2"/>
  <c r="G16" i="2"/>
  <c r="G14" i="2"/>
  <c r="G20" i="2"/>
  <c r="G13" i="2"/>
  <c r="E21" i="2"/>
  <c r="D21" i="2" s="1"/>
  <c r="E22" i="2"/>
  <c r="D22" i="2" s="1"/>
  <c r="E19" i="2"/>
  <c r="D19" i="2" s="1"/>
  <c r="E5" i="2"/>
  <c r="D5" i="2" s="1"/>
  <c r="E6" i="2"/>
  <c r="D6" i="2" s="1"/>
  <c r="E9" i="2"/>
  <c r="D9" i="2" s="1"/>
  <c r="E17" i="2"/>
  <c r="D17" i="2" s="1"/>
  <c r="E12" i="2"/>
  <c r="D12" i="2" s="1"/>
  <c r="E10" i="2"/>
  <c r="D10" i="2" s="1"/>
  <c r="E3" i="2"/>
  <c r="D3" i="2" s="1"/>
  <c r="E8" i="2"/>
  <c r="D8" i="2" s="1"/>
  <c r="E11" i="2"/>
  <c r="D11" i="2" s="1"/>
  <c r="E4" i="2"/>
  <c r="D4" i="2" s="1"/>
  <c r="E7" i="2"/>
  <c r="D7" i="2" s="1"/>
  <c r="E15" i="2"/>
  <c r="D15" i="2" s="1"/>
  <c r="E18" i="2"/>
  <c r="D18" i="2" s="1"/>
  <c r="E16" i="2"/>
  <c r="D16" i="2" s="1"/>
  <c r="E14" i="2"/>
  <c r="D14" i="2" s="1"/>
  <c r="E20" i="2"/>
  <c r="D20" i="2" s="1"/>
  <c r="E13" i="2"/>
  <c r="D13" i="2" s="1"/>
  <c r="H21" i="2"/>
  <c r="H22" i="2"/>
  <c r="H19" i="2"/>
  <c r="H5" i="2"/>
  <c r="H6" i="2"/>
  <c r="H9" i="2"/>
  <c r="H17" i="2"/>
  <c r="H12" i="2"/>
  <c r="H10" i="2"/>
  <c r="H3" i="2"/>
  <c r="H8" i="2"/>
  <c r="H11" i="2"/>
  <c r="H4" i="2"/>
  <c r="H7" i="2"/>
  <c r="H15" i="2"/>
  <c r="H18" i="2"/>
  <c r="H16" i="2"/>
  <c r="H14" i="2"/>
  <c r="H20" i="2"/>
  <c r="H13" i="2"/>
  <c r="J12" i="2"/>
  <c r="J14" i="2"/>
  <c r="J5" i="2"/>
  <c r="J9" i="2"/>
  <c r="J19" i="2"/>
  <c r="J15" i="2"/>
  <c r="J10" i="2"/>
  <c r="J13" i="2"/>
  <c r="J4" i="2"/>
  <c r="J16" i="2"/>
  <c r="J7" i="2"/>
  <c r="J20" i="2"/>
  <c r="J21" i="2"/>
  <c r="J18" i="2"/>
  <c r="J17" i="2"/>
  <c r="J8" i="2"/>
  <c r="J22" i="2"/>
  <c r="J11" i="2"/>
  <c r="J6" i="2"/>
  <c r="J3" i="2"/>
  <c r="K3" i="1"/>
  <c r="K4" i="1"/>
  <c r="K5" i="1"/>
  <c r="K6" i="1"/>
  <c r="K7" i="1"/>
  <c r="K8" i="1"/>
  <c r="K9" i="1"/>
  <c r="K10" i="1"/>
  <c r="K11" i="1"/>
  <c r="K12" i="1"/>
  <c r="L12" i="1" s="1"/>
  <c r="K13" i="1"/>
  <c r="L13" i="1" s="1"/>
  <c r="K14" i="1"/>
  <c r="K15" i="1"/>
  <c r="K16" i="1"/>
  <c r="L16" i="1" s="1"/>
  <c r="K17" i="1"/>
  <c r="L17" i="1" s="1"/>
  <c r="K18" i="1"/>
  <c r="K19" i="1"/>
  <c r="K20" i="1"/>
  <c r="L20" i="1" s="1"/>
  <c r="K21" i="1"/>
  <c r="L21" i="1" s="1"/>
  <c r="K22" i="1"/>
  <c r="K23" i="1"/>
  <c r="K24" i="1"/>
  <c r="L24" i="1" s="1"/>
  <c r="K25" i="1"/>
  <c r="K26" i="1"/>
  <c r="K27" i="1"/>
  <c r="K28" i="1"/>
  <c r="L28" i="1" s="1"/>
  <c r="K29" i="1"/>
  <c r="K30" i="1"/>
  <c r="K31" i="1"/>
  <c r="K32" i="1"/>
  <c r="L32" i="1" s="1"/>
  <c r="K33" i="1"/>
  <c r="K34" i="1"/>
  <c r="K35" i="1"/>
  <c r="K36" i="1"/>
  <c r="L36" i="1" s="1"/>
  <c r="K37" i="1"/>
  <c r="K38" i="1"/>
  <c r="K39" i="1"/>
  <c r="K40" i="1"/>
  <c r="L40" i="1" s="1"/>
  <c r="K41" i="1"/>
  <c r="K42" i="1"/>
  <c r="K43" i="1"/>
  <c r="K44" i="1"/>
  <c r="L44" i="1" s="1"/>
  <c r="K45" i="1"/>
  <c r="K46" i="1"/>
  <c r="K47" i="1"/>
  <c r="K48" i="1"/>
  <c r="L48" i="1" s="1"/>
  <c r="K49" i="1"/>
  <c r="K50" i="1"/>
  <c r="K51" i="1"/>
  <c r="K52" i="1"/>
  <c r="L52" i="1" s="1"/>
  <c r="K53" i="1"/>
  <c r="K54" i="1"/>
  <c r="K55" i="1"/>
  <c r="K56" i="1"/>
  <c r="L56" i="1" s="1"/>
  <c r="K57" i="1"/>
  <c r="K58" i="1"/>
  <c r="K59" i="1"/>
  <c r="K60" i="1"/>
  <c r="L60" i="1" s="1"/>
  <c r="K61" i="1"/>
  <c r="K62" i="1"/>
  <c r="K63" i="1"/>
  <c r="K64" i="1"/>
  <c r="L64" i="1" s="1"/>
  <c r="K65" i="1"/>
  <c r="K66" i="1"/>
  <c r="K67" i="1"/>
  <c r="K68" i="1"/>
  <c r="L68" i="1" s="1"/>
  <c r="K69" i="1"/>
  <c r="L69" i="1" s="1"/>
  <c r="K70" i="1"/>
  <c r="K71" i="1"/>
  <c r="K72" i="1"/>
  <c r="L72" i="1" s="1"/>
  <c r="K73" i="1"/>
  <c r="L73" i="1" s="1"/>
  <c r="K74" i="1"/>
  <c r="K75" i="1"/>
  <c r="K76" i="1"/>
  <c r="L76" i="1" s="1"/>
  <c r="K77" i="1"/>
  <c r="L77" i="1" s="1"/>
  <c r="K78" i="1"/>
  <c r="K79" i="1"/>
  <c r="K80" i="1"/>
  <c r="L80" i="1" s="1"/>
  <c r="K81" i="1"/>
  <c r="L81" i="1" s="1"/>
  <c r="K82" i="1"/>
  <c r="K83" i="1"/>
  <c r="K84" i="1"/>
  <c r="L84" i="1" s="1"/>
  <c r="K85" i="1"/>
  <c r="L85" i="1" s="1"/>
  <c r="K86" i="1"/>
  <c r="K87" i="1"/>
  <c r="K88" i="1"/>
  <c r="L88" i="1" s="1"/>
  <c r="K89" i="1"/>
  <c r="L89" i="1" s="1"/>
  <c r="K90" i="1"/>
  <c r="K91" i="1"/>
  <c r="K92" i="1"/>
  <c r="L92" i="1" s="1"/>
  <c r="K93" i="1"/>
  <c r="L93" i="1" s="1"/>
  <c r="K94" i="1"/>
  <c r="K95" i="1"/>
  <c r="K96" i="1"/>
  <c r="L96" i="1" s="1"/>
  <c r="K97" i="1"/>
  <c r="L97" i="1" s="1"/>
  <c r="K98" i="1"/>
  <c r="K99" i="1"/>
  <c r="K100" i="1"/>
  <c r="L100" i="1" s="1"/>
  <c r="K101" i="1"/>
  <c r="L101" i="1" s="1"/>
  <c r="K102" i="1"/>
  <c r="K103" i="1"/>
  <c r="K104" i="1"/>
  <c r="L104" i="1" s="1"/>
  <c r="K105" i="1"/>
  <c r="L105" i="1" s="1"/>
  <c r="K106" i="1"/>
  <c r="K107" i="1"/>
  <c r="K108" i="1"/>
  <c r="L108" i="1" s="1"/>
  <c r="K109" i="1"/>
  <c r="L109" i="1" s="1"/>
  <c r="K110" i="1"/>
  <c r="K111" i="1"/>
  <c r="K112" i="1"/>
  <c r="L112" i="1" s="1"/>
  <c r="K113" i="1"/>
  <c r="L113" i="1" s="1"/>
  <c r="K114" i="1"/>
  <c r="K115" i="1"/>
  <c r="K116" i="1"/>
  <c r="L116" i="1" s="1"/>
  <c r="K117" i="1"/>
  <c r="L117" i="1" s="1"/>
  <c r="K118" i="1"/>
  <c r="K119" i="1"/>
  <c r="K120" i="1"/>
  <c r="L120" i="1" s="1"/>
  <c r="K121" i="1"/>
  <c r="L121" i="1" s="1"/>
  <c r="K122" i="1"/>
  <c r="K123" i="1"/>
  <c r="K124" i="1"/>
  <c r="L124" i="1" s="1"/>
  <c r="K125" i="1"/>
  <c r="L125" i="1" s="1"/>
  <c r="K126" i="1"/>
  <c r="K127" i="1"/>
  <c r="K128" i="1"/>
  <c r="L128" i="1" s="1"/>
  <c r="K129" i="1"/>
  <c r="L129" i="1" s="1"/>
  <c r="K130" i="1"/>
  <c r="K131" i="1"/>
  <c r="K132" i="1"/>
  <c r="L132" i="1" s="1"/>
  <c r="K133" i="1"/>
  <c r="K134" i="1"/>
  <c r="K135" i="1"/>
  <c r="K136" i="1"/>
  <c r="L136" i="1" s="1"/>
  <c r="K137" i="1"/>
  <c r="L137" i="1" s="1"/>
  <c r="K138" i="1"/>
  <c r="K139" i="1"/>
  <c r="K140" i="1"/>
  <c r="L140" i="1" s="1"/>
  <c r="K141" i="1"/>
  <c r="L141" i="1" s="1"/>
  <c r="K142" i="1"/>
  <c r="K143" i="1"/>
  <c r="K144" i="1"/>
  <c r="K145" i="1"/>
  <c r="L145" i="1" s="1"/>
  <c r="K146" i="1"/>
  <c r="K147" i="1"/>
  <c r="K148" i="1"/>
  <c r="L148" i="1" s="1"/>
  <c r="K149" i="1"/>
  <c r="L149" i="1" s="1"/>
  <c r="K150" i="1"/>
  <c r="K151" i="1"/>
  <c r="K152" i="1"/>
  <c r="L152" i="1" s="1"/>
  <c r="K153" i="1"/>
  <c r="L153" i="1" s="1"/>
  <c r="K154" i="1"/>
  <c r="K155" i="1"/>
  <c r="K156" i="1"/>
  <c r="L156" i="1" s="1"/>
  <c r="K157" i="1"/>
  <c r="L157" i="1" s="1"/>
  <c r="K158" i="1"/>
  <c r="K159" i="1"/>
  <c r="K160" i="1"/>
  <c r="L160" i="1" s="1"/>
  <c r="K161" i="1"/>
  <c r="L161" i="1" s="1"/>
  <c r="K162" i="1"/>
  <c r="K163" i="1"/>
  <c r="K164" i="1"/>
  <c r="L164" i="1" s="1"/>
  <c r="K165" i="1"/>
  <c r="L165" i="1" s="1"/>
  <c r="K166" i="1"/>
  <c r="K167" i="1"/>
  <c r="K168" i="1"/>
  <c r="L168" i="1" s="1"/>
  <c r="K169" i="1"/>
  <c r="L169" i="1" s="1"/>
  <c r="K170" i="1"/>
  <c r="K171" i="1"/>
  <c r="K172" i="1"/>
  <c r="L172" i="1" s="1"/>
  <c r="K173" i="1"/>
  <c r="L173" i="1" s="1"/>
  <c r="K174" i="1"/>
  <c r="K175" i="1"/>
  <c r="K176" i="1"/>
  <c r="K177" i="1"/>
  <c r="L177" i="1" s="1"/>
  <c r="K178" i="1"/>
  <c r="K179" i="1"/>
  <c r="K180" i="1"/>
  <c r="K181" i="1"/>
  <c r="L181" i="1" s="1"/>
  <c r="K182" i="1"/>
  <c r="K183" i="1"/>
  <c r="K184" i="1"/>
  <c r="K185" i="1"/>
  <c r="L185" i="1" s="1"/>
  <c r="K186" i="1"/>
  <c r="K187" i="1"/>
  <c r="K188" i="1"/>
  <c r="K189" i="1"/>
  <c r="L189" i="1" s="1"/>
  <c r="K190" i="1"/>
  <c r="K191" i="1"/>
  <c r="K192" i="1"/>
  <c r="K193" i="1"/>
  <c r="L193" i="1" s="1"/>
  <c r="K194" i="1"/>
  <c r="K195" i="1"/>
  <c r="K196" i="1"/>
  <c r="L196" i="1" s="1"/>
  <c r="K197" i="1"/>
  <c r="K198" i="1"/>
  <c r="K199" i="1"/>
  <c r="K200" i="1"/>
  <c r="L200" i="1" s="1"/>
  <c r="K201" i="1"/>
  <c r="L201" i="1" s="1"/>
  <c r="K202" i="1"/>
  <c r="K203" i="1"/>
  <c r="K204" i="1"/>
  <c r="L204" i="1" s="1"/>
  <c r="K205" i="1"/>
  <c r="L205" i="1" s="1"/>
  <c r="K206" i="1"/>
  <c r="K207" i="1"/>
  <c r="K208" i="1"/>
  <c r="K209" i="1"/>
  <c r="K210" i="1"/>
  <c r="K211" i="1"/>
  <c r="K212" i="1"/>
  <c r="L212" i="1" s="1"/>
  <c r="K213" i="1"/>
  <c r="L213" i="1" s="1"/>
  <c r="K214" i="1"/>
  <c r="K215" i="1"/>
  <c r="K216" i="1"/>
  <c r="L216" i="1" s="1"/>
  <c r="K217" i="1"/>
  <c r="L217" i="1" s="1"/>
  <c r="K218" i="1"/>
  <c r="K219" i="1"/>
  <c r="K220" i="1"/>
  <c r="K2" i="1"/>
  <c r="Q361" i="1" l="1"/>
  <c r="O421" i="1"/>
  <c r="P421" i="1" s="1"/>
  <c r="R308" i="1"/>
  <c r="R316" i="1"/>
  <c r="Q429" i="1"/>
  <c r="O338" i="1"/>
  <c r="P338" i="1" s="1"/>
  <c r="R271" i="1"/>
  <c r="O315" i="1"/>
  <c r="P315" i="1" s="1"/>
  <c r="Q304" i="1"/>
  <c r="Q393" i="1"/>
  <c r="R300" i="1"/>
  <c r="Q425" i="1"/>
  <c r="Q380" i="1"/>
  <c r="R291" i="1"/>
  <c r="O295" i="1"/>
  <c r="P295" i="1" s="1"/>
  <c r="R352" i="1"/>
  <c r="R373" i="1"/>
  <c r="Q310" i="1"/>
  <c r="O405" i="1"/>
  <c r="P405" i="1" s="1"/>
  <c r="Q369" i="1"/>
  <c r="R267" i="1"/>
  <c r="R400" i="1"/>
  <c r="R337" i="1"/>
  <c r="R420" i="1"/>
  <c r="R428" i="1"/>
  <c r="R260" i="1"/>
  <c r="Q424" i="1"/>
  <c r="Q323" i="1"/>
  <c r="R404" i="1"/>
  <c r="Q388" i="1"/>
  <c r="O264" i="1"/>
  <c r="P264" i="1" s="1"/>
  <c r="Q396" i="1"/>
  <c r="R261" i="1"/>
  <c r="R328" i="1"/>
  <c r="R356" i="1"/>
  <c r="R336" i="1"/>
  <c r="Q340" i="1"/>
  <c r="O360" i="1"/>
  <c r="P360" i="1" s="1"/>
  <c r="R334" i="1"/>
  <c r="O324" i="1"/>
  <c r="P324" i="1" s="1"/>
  <c r="Q332" i="1"/>
  <c r="R280" i="1"/>
  <c r="O284" i="1"/>
  <c r="P284" i="1" s="1"/>
  <c r="O268" i="1"/>
  <c r="P268" i="1" s="1"/>
  <c r="O272" i="1"/>
  <c r="P272" i="1" s="1"/>
  <c r="O312" i="1"/>
  <c r="P312" i="1" s="1"/>
  <c r="R311" i="1"/>
  <c r="Q399" i="1"/>
  <c r="O326" i="1"/>
  <c r="P326" i="1" s="1"/>
  <c r="Q290" i="1"/>
  <c r="Q421" i="1"/>
  <c r="R424" i="1"/>
  <c r="O427" i="1"/>
  <c r="P427" i="1" s="1"/>
  <c r="Q427" i="1"/>
  <c r="Q418" i="1"/>
  <c r="O415" i="1"/>
  <c r="P415" i="1" s="1"/>
  <c r="R412" i="1"/>
  <c r="Q411" i="1"/>
  <c r="Q417" i="1"/>
  <c r="O313" i="1"/>
  <c r="P313" i="1" s="1"/>
  <c r="Q416" i="1"/>
  <c r="Q403" i="1"/>
  <c r="Q288" i="1"/>
  <c r="R423" i="1"/>
  <c r="Q317" i="1"/>
  <c r="O239" i="1"/>
  <c r="P239" i="1" s="1"/>
  <c r="O363" i="1"/>
  <c r="P363" i="1" s="1"/>
  <c r="Q279" i="1"/>
  <c r="Q381" i="1"/>
  <c r="O319" i="1"/>
  <c r="P319" i="1" s="1"/>
  <c r="O366" i="1"/>
  <c r="P366" i="1" s="1"/>
  <c r="Q329" i="1"/>
  <c r="Q423" i="1"/>
  <c r="O420" i="1"/>
  <c r="P420" i="1" s="1"/>
  <c r="Q420" i="1"/>
  <c r="O355" i="1"/>
  <c r="P355" i="1" s="1"/>
  <c r="R359" i="1"/>
  <c r="O359" i="1"/>
  <c r="P359" i="1" s="1"/>
  <c r="R421" i="1"/>
  <c r="R235" i="1"/>
  <c r="O374" i="1"/>
  <c r="P374" i="1" s="1"/>
  <c r="O283" i="1"/>
  <c r="P283" i="1" s="1"/>
  <c r="Q389" i="1"/>
  <c r="O259" i="1"/>
  <c r="P259" i="1" s="1"/>
  <c r="R390" i="1"/>
  <c r="O426" i="1"/>
  <c r="P426" i="1" s="1"/>
  <c r="Q428" i="1"/>
  <c r="Q281" i="1"/>
  <c r="R327" i="1"/>
  <c r="Q415" i="1"/>
  <c r="O389" i="1"/>
  <c r="P389" i="1" s="1"/>
  <c r="O390" i="1"/>
  <c r="P390" i="1" s="1"/>
  <c r="R426" i="1"/>
  <c r="R322" i="1"/>
  <c r="R289" i="1"/>
  <c r="R415" i="1"/>
  <c r="O311" i="1"/>
  <c r="P311" i="1" s="1"/>
  <c r="R314" i="1"/>
  <c r="Q285" i="1"/>
  <c r="O416" i="1"/>
  <c r="P416" i="1" s="1"/>
  <c r="R297" i="1"/>
  <c r="O424" i="1"/>
  <c r="P424" i="1" s="1"/>
  <c r="O399" i="1"/>
  <c r="P399" i="1" s="1"/>
  <c r="R425" i="1"/>
  <c r="Q333" i="1"/>
  <c r="R358" i="1"/>
  <c r="Q277" i="1"/>
  <c r="O393" i="1"/>
  <c r="P393" i="1" s="1"/>
  <c r="Q225" i="1"/>
  <c r="R285" i="1"/>
  <c r="R318" i="1"/>
  <c r="O423" i="1"/>
  <c r="P423" i="1" s="1"/>
  <c r="R293" i="1"/>
  <c r="O300" i="1"/>
  <c r="P300" i="1" s="1"/>
  <c r="R399" i="1"/>
  <c r="Q327" i="1"/>
  <c r="R360" i="1"/>
  <c r="O297" i="1"/>
  <c r="P297" i="1" s="1"/>
  <c r="O304" i="1"/>
  <c r="P304" i="1" s="1"/>
  <c r="Q392" i="1"/>
  <c r="O425" i="1"/>
  <c r="P425" i="1" s="1"/>
  <c r="O289" i="1"/>
  <c r="P289" i="1" s="1"/>
  <c r="R254" i="1"/>
  <c r="O254" i="1"/>
  <c r="P254" i="1" s="1"/>
  <c r="Q311" i="1"/>
  <c r="R416" i="1"/>
  <c r="Q259" i="1"/>
  <c r="R332" i="1"/>
  <c r="R281" i="1"/>
  <c r="Q297" i="1"/>
  <c r="Q373" i="1"/>
  <c r="O428" i="1"/>
  <c r="P428" i="1" s="1"/>
  <c r="Q230" i="1"/>
  <c r="O332" i="1"/>
  <c r="P332" i="1" s="1"/>
  <c r="O281" i="1"/>
  <c r="P281" i="1" s="1"/>
  <c r="O373" i="1"/>
  <c r="P373" i="1" s="1"/>
  <c r="O230" i="1"/>
  <c r="P230" i="1" s="1"/>
  <c r="O249" i="1"/>
  <c r="P249" i="1" s="1"/>
  <c r="R306" i="1"/>
  <c r="O383" i="1"/>
  <c r="P383" i="1" s="1"/>
  <c r="Q234" i="1"/>
  <c r="Q349" i="1"/>
  <c r="O411" i="1"/>
  <c r="P411" i="1" s="1"/>
  <c r="Q422" i="1"/>
  <c r="O422" i="1"/>
  <c r="P422" i="1" s="1"/>
  <c r="O388" i="1"/>
  <c r="P388" i="1" s="1"/>
  <c r="R411" i="1"/>
  <c r="R388" i="1"/>
  <c r="O308" i="1"/>
  <c r="P308" i="1" s="1"/>
  <c r="O293" i="1"/>
  <c r="P293" i="1" s="1"/>
  <c r="O339" i="1"/>
  <c r="P339" i="1" s="1"/>
  <c r="R277" i="1"/>
  <c r="Q359" i="1"/>
  <c r="R393" i="1"/>
  <c r="R394" i="1"/>
  <c r="Q394" i="1"/>
  <c r="O336" i="1"/>
  <c r="P336" i="1" s="1"/>
  <c r="O387" i="1"/>
  <c r="P387" i="1" s="1"/>
  <c r="Q263" i="1"/>
  <c r="O429" i="1"/>
  <c r="P429" i="1" s="1"/>
  <c r="O379" i="1"/>
  <c r="P379" i="1" s="1"/>
  <c r="Q395" i="1"/>
  <c r="R304" i="1"/>
  <c r="O327" i="1"/>
  <c r="P327" i="1" s="1"/>
  <c r="Q360" i="1"/>
  <c r="Q289" i="1"/>
  <c r="O392" i="1"/>
  <c r="P392" i="1" s="1"/>
  <c r="R333" i="1"/>
  <c r="Q226" i="1"/>
  <c r="R246" i="1"/>
  <c r="Q371" i="1"/>
  <c r="R391" i="1"/>
  <c r="O250" i="1"/>
  <c r="P250" i="1" s="1"/>
  <c r="Q367" i="1"/>
  <c r="Q293" i="1"/>
  <c r="R339" i="1"/>
  <c r="Q308" i="1"/>
  <c r="R354" i="1"/>
  <c r="O350" i="1"/>
  <c r="P350" i="1" s="1"/>
  <c r="O263" i="1"/>
  <c r="P263" i="1" s="1"/>
  <c r="R319" i="1"/>
  <c r="R429" i="1"/>
  <c r="O225" i="1"/>
  <c r="P225" i="1" s="1"/>
  <c r="O352" i="1"/>
  <c r="P352" i="1" s="1"/>
  <c r="Q253" i="1"/>
  <c r="Q336" i="1"/>
  <c r="Q319" i="1"/>
  <c r="Q300" i="1"/>
  <c r="O285" i="1"/>
  <c r="P285" i="1" s="1"/>
  <c r="R242" i="1"/>
  <c r="R294" i="1"/>
  <c r="O417" i="1"/>
  <c r="P417" i="1" s="1"/>
  <c r="R302" i="1"/>
  <c r="R292" i="1"/>
  <c r="Q250" i="1"/>
  <c r="Q272" i="1"/>
  <c r="Q255" i="1"/>
  <c r="O229" i="1"/>
  <c r="P229" i="1" s="1"/>
  <c r="O277" i="1"/>
  <c r="P277" i="1" s="1"/>
  <c r="Q246" i="1"/>
  <c r="R272" i="1"/>
  <c r="O222" i="1"/>
  <c r="P222" i="1" s="1"/>
  <c r="O255" i="1"/>
  <c r="P255" i="1" s="1"/>
  <c r="R427" i="1"/>
  <c r="R222" i="1"/>
  <c r="Q245" i="1"/>
  <c r="Q238" i="1"/>
  <c r="R229" i="1"/>
  <c r="O226" i="1"/>
  <c r="P226" i="1" s="1"/>
  <c r="R417" i="1"/>
  <c r="O412" i="1"/>
  <c r="P412" i="1" s="1"/>
  <c r="O414" i="1"/>
  <c r="P414" i="1" s="1"/>
  <c r="R413" i="1"/>
  <c r="O418" i="1"/>
  <c r="P418" i="1" s="1"/>
  <c r="R418" i="1"/>
  <c r="Q412" i="1"/>
  <c r="O413" i="1"/>
  <c r="P413" i="1" s="1"/>
  <c r="O410" i="1"/>
  <c r="P410" i="1" s="1"/>
  <c r="O409" i="1"/>
  <c r="P409" i="1" s="1"/>
  <c r="R414" i="1"/>
  <c r="R405" i="1"/>
  <c r="Q414" i="1"/>
  <c r="Q413" i="1"/>
  <c r="R403" i="1"/>
  <c r="R410" i="1"/>
  <c r="R406" i="1"/>
  <c r="Q410" i="1"/>
  <c r="Q406" i="1"/>
  <c r="Q402" i="1"/>
  <c r="R409" i="1"/>
  <c r="Q409" i="1"/>
  <c r="Q405" i="1"/>
  <c r="R407" i="1"/>
  <c r="Q391" i="1"/>
  <c r="Q407" i="1"/>
  <c r="O401" i="1"/>
  <c r="P401" i="1" s="1"/>
  <c r="O403" i="1"/>
  <c r="P403" i="1" s="1"/>
  <c r="R401" i="1"/>
  <c r="Q404" i="1"/>
  <c r="Q401" i="1"/>
  <c r="O404" i="1"/>
  <c r="P404" i="1" s="1"/>
  <c r="O396" i="1"/>
  <c r="P396" i="1" s="1"/>
  <c r="Q400" i="1"/>
  <c r="R398" i="1"/>
  <c r="O402" i="1"/>
  <c r="P402" i="1" s="1"/>
  <c r="O398" i="1"/>
  <c r="P398" i="1" s="1"/>
  <c r="O395" i="1"/>
  <c r="P395" i="1" s="1"/>
  <c r="O400" i="1"/>
  <c r="P400" i="1" s="1"/>
  <c r="Q398" i="1"/>
  <c r="R396" i="1"/>
  <c r="R395" i="1"/>
  <c r="O391" i="1"/>
  <c r="P391" i="1" s="1"/>
  <c r="O371" i="1"/>
  <c r="P371" i="1" s="1"/>
  <c r="O384" i="1"/>
  <c r="P384" i="1" s="1"/>
  <c r="R338" i="1"/>
  <c r="R387" i="1"/>
  <c r="Q354" i="1"/>
  <c r="O381" i="1"/>
  <c r="P381" i="1" s="1"/>
  <c r="Q387" i="1"/>
  <c r="Q385" i="1"/>
  <c r="O369" i="1"/>
  <c r="P369" i="1" s="1"/>
  <c r="O380" i="1"/>
  <c r="P380" i="1" s="1"/>
  <c r="R384" i="1"/>
  <c r="Q384" i="1"/>
  <c r="R385" i="1"/>
  <c r="O330" i="1"/>
  <c r="P330" i="1" s="1"/>
  <c r="R335" i="1"/>
  <c r="O365" i="1"/>
  <c r="P365" i="1" s="1"/>
  <c r="R363" i="1"/>
  <c r="Q382" i="1"/>
  <c r="Q343" i="1"/>
  <c r="Q330" i="1"/>
  <c r="Q376" i="1"/>
  <c r="Q335" i="1"/>
  <c r="O343" i="1"/>
  <c r="P343" i="1" s="1"/>
  <c r="R371" i="1"/>
  <c r="Q283" i="1"/>
  <c r="R357" i="1"/>
  <c r="R365" i="1"/>
  <c r="R378" i="1"/>
  <c r="O302" i="1"/>
  <c r="P302" i="1" s="1"/>
  <c r="R330" i="1"/>
  <c r="O354" i="1"/>
  <c r="P354" i="1" s="1"/>
  <c r="O382" i="1"/>
  <c r="P382" i="1" s="1"/>
  <c r="O348" i="1"/>
  <c r="P348" i="1" s="1"/>
  <c r="R283" i="1"/>
  <c r="Q357" i="1"/>
  <c r="Q363" i="1"/>
  <c r="Q378" i="1"/>
  <c r="Q302" i="1"/>
  <c r="Q338" i="1"/>
  <c r="R376" i="1"/>
  <c r="O385" i="1"/>
  <c r="P385" i="1" s="1"/>
  <c r="Q383" i="1"/>
  <c r="R383" i="1"/>
  <c r="R347" i="1"/>
  <c r="R379" i="1"/>
  <c r="R381" i="1"/>
  <c r="Q348" i="1"/>
  <c r="R369" i="1"/>
  <c r="Q379" i="1"/>
  <c r="R380" i="1"/>
  <c r="Q228" i="1"/>
  <c r="O377" i="1"/>
  <c r="P377" i="1" s="1"/>
  <c r="O367" i="1"/>
  <c r="P367" i="1" s="1"/>
  <c r="R377" i="1"/>
  <c r="R362" i="1"/>
  <c r="Q372" i="1"/>
  <c r="Q347" i="1"/>
  <c r="O372" i="1"/>
  <c r="P372" i="1" s="1"/>
  <c r="Q352" i="1"/>
  <c r="R372" i="1"/>
  <c r="O376" i="1"/>
  <c r="P376" i="1" s="1"/>
  <c r="O323" i="1"/>
  <c r="P323" i="1" s="1"/>
  <c r="Q252" i="1"/>
  <c r="Q321" i="1"/>
  <c r="R326" i="1"/>
  <c r="R351" i="1"/>
  <c r="R367" i="1"/>
  <c r="R374" i="1"/>
  <c r="R321" i="1"/>
  <c r="Q362" i="1"/>
  <c r="O356" i="1"/>
  <c r="P356" i="1" s="1"/>
  <c r="Q351" i="1"/>
  <c r="Q374" i="1"/>
  <c r="O310" i="1"/>
  <c r="P310" i="1" s="1"/>
  <c r="R340" i="1"/>
  <c r="Q334" i="1"/>
  <c r="O346" i="1"/>
  <c r="P346" i="1" s="1"/>
  <c r="R370" i="1"/>
  <c r="O321" i="1"/>
  <c r="P321" i="1" s="1"/>
  <c r="R266" i="1"/>
  <c r="R239" i="1"/>
  <c r="O368" i="1"/>
  <c r="P368" i="1" s="1"/>
  <c r="R368" i="1"/>
  <c r="Q350" i="1"/>
  <c r="R350" i="1"/>
  <c r="Q370" i="1"/>
  <c r="Q324" i="1"/>
  <c r="O227" i="1"/>
  <c r="P227" i="1" s="1"/>
  <c r="R329" i="1"/>
  <c r="O370" i="1"/>
  <c r="P370" i="1" s="1"/>
  <c r="R324" i="1"/>
  <c r="R349" i="1"/>
  <c r="Q345" i="1"/>
  <c r="R344" i="1"/>
  <c r="O361" i="1"/>
  <c r="P361" i="1" s="1"/>
  <c r="R348" i="1"/>
  <c r="O337" i="1"/>
  <c r="P337" i="1" s="1"/>
  <c r="Q328" i="1"/>
  <c r="R323" i="1"/>
  <c r="Q337" i="1"/>
  <c r="O328" i="1"/>
  <c r="P328" i="1" s="1"/>
  <c r="Q256" i="1"/>
  <c r="R273" i="1"/>
  <c r="R325" i="1"/>
  <c r="R361" i="1"/>
  <c r="Q292" i="1"/>
  <c r="R366" i="1"/>
  <c r="Q258" i="1"/>
  <c r="O307" i="1"/>
  <c r="P307" i="1" s="1"/>
  <c r="O329" i="1"/>
  <c r="P329" i="1" s="1"/>
  <c r="R341" i="1"/>
  <c r="O349" i="1"/>
  <c r="P349" i="1" s="1"/>
  <c r="Q322" i="1"/>
  <c r="R346" i="1"/>
  <c r="Q305" i="1"/>
  <c r="R355" i="1"/>
  <c r="O341" i="1"/>
  <c r="P341" i="1" s="1"/>
  <c r="Q344" i="1"/>
  <c r="Q356" i="1"/>
  <c r="O334" i="1"/>
  <c r="P334" i="1" s="1"/>
  <c r="O344" i="1"/>
  <c r="P344" i="1" s="1"/>
  <c r="Q326" i="1"/>
  <c r="O340" i="1"/>
  <c r="P340" i="1" s="1"/>
  <c r="R345" i="1"/>
  <c r="Q366" i="1"/>
  <c r="Q355" i="1"/>
  <c r="Q318" i="1"/>
  <c r="O322" i="1"/>
  <c r="P322" i="1" s="1"/>
  <c r="O318" i="1"/>
  <c r="P318" i="1" s="1"/>
  <c r="Q346" i="1"/>
  <c r="Q312" i="1"/>
  <c r="R299" i="1"/>
  <c r="O345" i="1"/>
  <c r="P345" i="1" s="1"/>
  <c r="Q358" i="1"/>
  <c r="Q314" i="1"/>
  <c r="O358" i="1"/>
  <c r="P358" i="1" s="1"/>
  <c r="O325" i="1"/>
  <c r="P325" i="1" s="1"/>
  <c r="Q280" i="1"/>
  <c r="Q325" i="1"/>
  <c r="O314" i="1"/>
  <c r="P314" i="1" s="1"/>
  <c r="O299" i="1"/>
  <c r="P299" i="1" s="1"/>
  <c r="O279" i="1"/>
  <c r="P279" i="1" s="1"/>
  <c r="R310" i="1"/>
  <c r="O305" i="1"/>
  <c r="P305" i="1" s="1"/>
  <c r="O303" i="1"/>
  <c r="P303" i="1" s="1"/>
  <c r="Q306" i="1"/>
  <c r="O296" i="1"/>
  <c r="P296" i="1" s="1"/>
  <c r="O306" i="1"/>
  <c r="P306" i="1" s="1"/>
  <c r="R278" i="1"/>
  <c r="R301" i="1"/>
  <c r="O280" i="1"/>
  <c r="P280" i="1" s="1"/>
  <c r="Q260" i="1"/>
  <c r="R284" i="1"/>
  <c r="O282" i="1"/>
  <c r="P282" i="1" s="1"/>
  <c r="R264" i="1"/>
  <c r="Q284" i="1"/>
  <c r="R257" i="1"/>
  <c r="Q264" i="1"/>
  <c r="R282" i="1"/>
  <c r="R251" i="1"/>
  <c r="R279" i="1"/>
  <c r="Q269" i="1"/>
  <c r="Q267" i="1"/>
  <c r="O260" i="1"/>
  <c r="P260" i="1" s="1"/>
  <c r="R315" i="1"/>
  <c r="Q315" i="1"/>
  <c r="O262" i="1"/>
  <c r="P262" i="1" s="1"/>
  <c r="Q299" i="1"/>
  <c r="R288" i="1"/>
  <c r="O235" i="1"/>
  <c r="P235" i="1" s="1"/>
  <c r="O261" i="1"/>
  <c r="P261" i="1" s="1"/>
  <c r="O301" i="1"/>
  <c r="P301" i="1" s="1"/>
  <c r="O294" i="1"/>
  <c r="P294" i="1" s="1"/>
  <c r="O288" i="1"/>
  <c r="P288" i="1" s="1"/>
  <c r="Q235" i="1"/>
  <c r="Q261" i="1"/>
  <c r="Q313" i="1"/>
  <c r="Q262" i="1"/>
  <c r="Q294" i="1"/>
  <c r="R247" i="1"/>
  <c r="Q278" i="1"/>
  <c r="O278" i="1"/>
  <c r="P278" i="1" s="1"/>
  <c r="R317" i="1"/>
  <c r="Q282" i="1"/>
  <c r="R303" i="1"/>
  <c r="Q303" i="1"/>
  <c r="Q251" i="1"/>
  <c r="R269" i="1"/>
  <c r="R305" i="1"/>
  <c r="O317" i="1"/>
  <c r="P317" i="1" s="1"/>
  <c r="O291" i="1"/>
  <c r="P291" i="1" s="1"/>
  <c r="Q286" i="1"/>
  <c r="R236" i="1"/>
  <c r="O237" i="1"/>
  <c r="P237" i="1" s="1"/>
  <c r="Q239" i="1"/>
  <c r="O292" i="1"/>
  <c r="P292" i="1" s="1"/>
  <c r="Q291" i="1"/>
  <c r="O252" i="1"/>
  <c r="P252" i="1" s="1"/>
  <c r="Q241" i="1"/>
  <c r="Q247" i="1"/>
  <c r="R270" i="1"/>
  <c r="O256" i="1"/>
  <c r="P256" i="1" s="1"/>
  <c r="Q296" i="1"/>
  <c r="R312" i="1"/>
  <c r="O316" i="1"/>
  <c r="P316" i="1" s="1"/>
  <c r="Q316" i="1"/>
  <c r="Q301" i="1"/>
  <c r="R313" i="1"/>
  <c r="O242" i="1"/>
  <c r="P242" i="1" s="1"/>
  <c r="R290" i="1"/>
  <c r="O240" i="1"/>
  <c r="P240" i="1" s="1"/>
  <c r="R232" i="1"/>
  <c r="O241" i="1"/>
  <c r="P241" i="1" s="1"/>
  <c r="Q233" i="1"/>
  <c r="R231" i="1"/>
  <c r="O244" i="1"/>
  <c r="P244" i="1" s="1"/>
  <c r="R296" i="1"/>
  <c r="R307" i="1"/>
  <c r="R258" i="1"/>
  <c r="O290" i="1"/>
  <c r="P290" i="1" s="1"/>
  <c r="Q307" i="1"/>
  <c r="O247" i="1"/>
  <c r="P247" i="1" s="1"/>
  <c r="Q271" i="1"/>
  <c r="O251" i="1"/>
  <c r="P251" i="1" s="1"/>
  <c r="Q249" i="1"/>
  <c r="O273" i="1"/>
  <c r="P273" i="1" s="1"/>
  <c r="O270" i="1"/>
  <c r="P270" i="1" s="1"/>
  <c r="O271" i="1"/>
  <c r="P271" i="1" s="1"/>
  <c r="Q295" i="1"/>
  <c r="Q273" i="1"/>
  <c r="R286" i="1"/>
  <c r="R295" i="1"/>
  <c r="O233" i="1"/>
  <c r="P233" i="1" s="1"/>
  <c r="R274" i="1"/>
  <c r="O224" i="1"/>
  <c r="P224" i="1" s="1"/>
  <c r="Q275" i="1"/>
  <c r="R228" i="1"/>
  <c r="O234" i="1"/>
  <c r="P234" i="1" s="1"/>
  <c r="O258" i="1"/>
  <c r="P258" i="1" s="1"/>
  <c r="O274" i="1"/>
  <c r="P274" i="1" s="1"/>
  <c r="R244" i="1"/>
  <c r="O275" i="1"/>
  <c r="P275" i="1" s="1"/>
  <c r="R253" i="1"/>
  <c r="Q236" i="1"/>
  <c r="O223" i="1"/>
  <c r="P223" i="1" s="1"/>
  <c r="Q237" i="1"/>
  <c r="O248" i="1"/>
  <c r="P248" i="1" s="1"/>
  <c r="R241" i="1"/>
  <c r="O257" i="1"/>
  <c r="P257" i="1" s="1"/>
  <c r="Q242" i="1"/>
  <c r="O232" i="1"/>
  <c r="P232" i="1" s="1"/>
  <c r="Q268" i="1"/>
  <c r="R221" i="1"/>
  <c r="R245" i="1"/>
  <c r="Q257" i="1"/>
  <c r="O269" i="1"/>
  <c r="P269" i="1" s="1"/>
  <c r="O267" i="1"/>
  <c r="P267" i="1" s="1"/>
  <c r="R262" i="1"/>
  <c r="O266" i="1"/>
  <c r="P266" i="1" s="1"/>
  <c r="Q231" i="1"/>
  <c r="R268" i="1"/>
  <c r="R248" i="1"/>
  <c r="R240" i="1"/>
  <c r="Q248" i="1"/>
  <c r="O238" i="1"/>
  <c r="P238" i="1" s="1"/>
  <c r="Q240" i="1"/>
  <c r="O245" i="1"/>
  <c r="P245" i="1" s="1"/>
  <c r="R238" i="1"/>
  <c r="R252" i="1"/>
  <c r="R223" i="1"/>
  <c r="Q244" i="1"/>
  <c r="R234" i="1"/>
  <c r="Q223" i="1"/>
  <c r="O228" i="1"/>
  <c r="P228" i="1" s="1"/>
  <c r="Q221" i="1"/>
  <c r="R237" i="1"/>
  <c r="O253" i="1"/>
  <c r="P253" i="1" s="1"/>
  <c r="O236" i="1"/>
  <c r="P236" i="1" s="1"/>
  <c r="Q224" i="1"/>
  <c r="R233" i="1"/>
  <c r="R249" i="1"/>
  <c r="R227" i="1"/>
  <c r="R224" i="1"/>
  <c r="R256" i="1"/>
  <c r="Q227" i="1"/>
  <c r="L214" i="1"/>
  <c r="L194" i="1"/>
  <c r="L190" i="1"/>
  <c r="L182" i="1"/>
  <c r="L178" i="1"/>
  <c r="L174" i="1"/>
  <c r="L170" i="1"/>
  <c r="L166" i="1"/>
  <c r="L162" i="1"/>
  <c r="L158" i="1"/>
  <c r="L154" i="1"/>
  <c r="L150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L82" i="1"/>
  <c r="L78" i="1"/>
  <c r="L74" i="1"/>
  <c r="L70" i="1"/>
  <c r="L22" i="1"/>
  <c r="L18" i="1"/>
  <c r="L14" i="1"/>
  <c r="L210" i="1"/>
  <c r="L206" i="1"/>
  <c r="L202" i="1"/>
  <c r="L218" i="1"/>
  <c r="L215" i="1"/>
  <c r="L207" i="1"/>
  <c r="L203" i="1"/>
  <c r="L199" i="1"/>
  <c r="L133" i="1"/>
  <c r="L192" i="1"/>
  <c r="L184" i="1"/>
  <c r="L180" i="1"/>
  <c r="L144" i="1"/>
  <c r="L188" i="1"/>
  <c r="L183" i="1"/>
  <c r="L179" i="1"/>
  <c r="L171" i="1"/>
  <c r="L167" i="1"/>
  <c r="L163" i="1"/>
  <c r="L159" i="1"/>
  <c r="L155" i="1"/>
  <c r="L139" i="1"/>
  <c r="L135" i="1"/>
  <c r="L131" i="1"/>
  <c r="L127" i="1"/>
  <c r="L123" i="1"/>
  <c r="L119" i="1"/>
  <c r="L115" i="1"/>
  <c r="L111" i="1"/>
  <c r="L107" i="1"/>
  <c r="L103" i="1"/>
  <c r="L87" i="1"/>
  <c r="L83" i="1"/>
  <c r="L79" i="1"/>
  <c r="L75" i="1"/>
  <c r="L71" i="1"/>
  <c r="L67" i="1"/>
  <c r="L63" i="1"/>
  <c r="L59" i="1"/>
  <c r="L55" i="1"/>
  <c r="L51" i="1"/>
  <c r="L47" i="1"/>
  <c r="L43" i="1"/>
  <c r="L39" i="1"/>
  <c r="L35" i="1"/>
  <c r="L23" i="1"/>
  <c r="L66" i="1"/>
  <c r="L62" i="1"/>
  <c r="L58" i="1"/>
  <c r="L54" i="1"/>
  <c r="L50" i="1"/>
  <c r="L46" i="1"/>
  <c r="L42" i="1"/>
  <c r="L38" i="1"/>
  <c r="L34" i="1"/>
  <c r="L30" i="1"/>
  <c r="L26" i="1"/>
  <c r="L65" i="1"/>
  <c r="L61" i="1"/>
  <c r="L57" i="1"/>
  <c r="L53" i="1"/>
  <c r="L49" i="1"/>
  <c r="L45" i="1"/>
  <c r="L41" i="1"/>
  <c r="L37" i="1"/>
  <c r="L33" i="1"/>
  <c r="L29" i="1"/>
  <c r="L25" i="1"/>
  <c r="L195" i="1"/>
  <c r="L191" i="1"/>
  <c r="L211" i="1"/>
  <c r="L95" i="1"/>
  <c r="L91" i="1"/>
  <c r="L31" i="1"/>
  <c r="L27" i="1"/>
  <c r="L99" i="1"/>
  <c r="L19" i="1"/>
  <c r="L15" i="1"/>
  <c r="L151" i="1"/>
  <c r="L147" i="1"/>
  <c r="L143" i="1"/>
  <c r="L8" i="1"/>
  <c r="L4" i="1"/>
  <c r="L11" i="1"/>
  <c r="L7" i="1"/>
  <c r="L3" i="1"/>
  <c r="L10" i="1"/>
  <c r="L6" i="1"/>
  <c r="L2" i="1"/>
  <c r="L9" i="1"/>
  <c r="L5" i="1"/>
  <c r="N2" i="1"/>
  <c r="N217" i="1"/>
  <c r="R217" i="1" s="1"/>
  <c r="N213" i="1"/>
  <c r="Q213" i="1" s="1"/>
  <c r="R209" i="1"/>
  <c r="N205" i="1"/>
  <c r="R205" i="1" s="1"/>
  <c r="N201" i="1"/>
  <c r="Q201" i="1" s="1"/>
  <c r="O197" i="1"/>
  <c r="P197" i="1" s="1"/>
  <c r="N193" i="1"/>
  <c r="R193" i="1" s="1"/>
  <c r="N189" i="1"/>
  <c r="Q189" i="1" s="1"/>
  <c r="N185" i="1"/>
  <c r="O185" i="1" s="1"/>
  <c r="P185" i="1" s="1"/>
  <c r="N181" i="1"/>
  <c r="Q181" i="1" s="1"/>
  <c r="N177" i="1"/>
  <c r="R177" i="1" s="1"/>
  <c r="N173" i="1"/>
  <c r="Q173" i="1" s="1"/>
  <c r="N169" i="1"/>
  <c r="Q169" i="1" s="1"/>
  <c r="N165" i="1"/>
  <c r="O165" i="1" s="1"/>
  <c r="P165" i="1" s="1"/>
  <c r="N161" i="1"/>
  <c r="O161" i="1" s="1"/>
  <c r="P161" i="1" s="1"/>
  <c r="N157" i="1"/>
  <c r="R157" i="1" s="1"/>
  <c r="N153" i="1"/>
  <c r="O153" i="1" s="1"/>
  <c r="P153" i="1" s="1"/>
  <c r="N149" i="1"/>
  <c r="Q149" i="1" s="1"/>
  <c r="N145" i="1"/>
  <c r="O145" i="1" s="1"/>
  <c r="P145" i="1" s="1"/>
  <c r="N141" i="1"/>
  <c r="Q141" i="1" s="1"/>
  <c r="N137" i="1"/>
  <c r="Q137" i="1" s="1"/>
  <c r="N133" i="1"/>
  <c r="N129" i="1"/>
  <c r="O129" i="1" s="1"/>
  <c r="P129" i="1" s="1"/>
  <c r="N125" i="1"/>
  <c r="R125" i="1" s="1"/>
  <c r="N121" i="1"/>
  <c r="R121" i="1" s="1"/>
  <c r="N117" i="1"/>
  <c r="Q117" i="1" s="1"/>
  <c r="N113" i="1"/>
  <c r="O113" i="1" s="1"/>
  <c r="P113" i="1" s="1"/>
  <c r="N109" i="1"/>
  <c r="R109" i="1" s="1"/>
  <c r="N105" i="1"/>
  <c r="Q105" i="1" s="1"/>
  <c r="N101" i="1"/>
  <c r="R101" i="1" s="1"/>
  <c r="N97" i="1"/>
  <c r="O97" i="1" s="1"/>
  <c r="P97" i="1" s="1"/>
  <c r="N93" i="1"/>
  <c r="R93" i="1" s="1"/>
  <c r="N89" i="1"/>
  <c r="Q89" i="1" s="1"/>
  <c r="N85" i="1"/>
  <c r="R85" i="1" s="1"/>
  <c r="N81" i="1"/>
  <c r="O81" i="1" s="1"/>
  <c r="P81" i="1" s="1"/>
  <c r="N77" i="1"/>
  <c r="Q77" i="1" s="1"/>
  <c r="N73" i="1"/>
  <c r="Q73" i="1" s="1"/>
  <c r="N69" i="1"/>
  <c r="Q69" i="1" s="1"/>
  <c r="N65" i="1"/>
  <c r="N61" i="1"/>
  <c r="N57" i="1"/>
  <c r="N53" i="1"/>
  <c r="N49" i="1"/>
  <c r="N45" i="1"/>
  <c r="N41" i="1"/>
  <c r="N37" i="1"/>
  <c r="N33" i="1"/>
  <c r="N29" i="1"/>
  <c r="N25" i="1"/>
  <c r="N21" i="1"/>
  <c r="Q21" i="1" s="1"/>
  <c r="N17" i="1"/>
  <c r="O17" i="1" s="1"/>
  <c r="P17" i="1" s="1"/>
  <c r="N13" i="1"/>
  <c r="R13" i="1" s="1"/>
  <c r="N9" i="1"/>
  <c r="N5" i="1"/>
  <c r="O220" i="1"/>
  <c r="P220" i="1" s="1"/>
  <c r="N216" i="1"/>
  <c r="R216" i="1" s="1"/>
  <c r="N212" i="1"/>
  <c r="O212" i="1" s="1"/>
  <c r="P212" i="1" s="1"/>
  <c r="O208" i="1"/>
  <c r="P208" i="1" s="1"/>
  <c r="N204" i="1"/>
  <c r="O204" i="1" s="1"/>
  <c r="P204" i="1" s="1"/>
  <c r="N200" i="1"/>
  <c r="Q200" i="1" s="1"/>
  <c r="N196" i="1"/>
  <c r="Q196" i="1" s="1"/>
  <c r="N192" i="1"/>
  <c r="N188" i="1"/>
  <c r="N184" i="1"/>
  <c r="N180" i="1"/>
  <c r="N172" i="1"/>
  <c r="O172" i="1" s="1"/>
  <c r="P172" i="1" s="1"/>
  <c r="N168" i="1"/>
  <c r="R168" i="1" s="1"/>
  <c r="N164" i="1"/>
  <c r="R164" i="1" s="1"/>
  <c r="N160" i="1"/>
  <c r="R160" i="1" s="1"/>
  <c r="N156" i="1"/>
  <c r="O156" i="1" s="1"/>
  <c r="P156" i="1" s="1"/>
  <c r="N152" i="1"/>
  <c r="R152" i="1" s="1"/>
  <c r="N148" i="1"/>
  <c r="O148" i="1" s="1"/>
  <c r="P148" i="1" s="1"/>
  <c r="N144" i="1"/>
  <c r="N140" i="1"/>
  <c r="O140" i="1" s="1"/>
  <c r="P140" i="1" s="1"/>
  <c r="N136" i="1"/>
  <c r="Q136" i="1" s="1"/>
  <c r="N132" i="1"/>
  <c r="Q132" i="1" s="1"/>
  <c r="N128" i="1"/>
  <c r="R128" i="1" s="1"/>
  <c r="N124" i="1"/>
  <c r="O124" i="1" s="1"/>
  <c r="P124" i="1" s="1"/>
  <c r="N120" i="1"/>
  <c r="R120" i="1" s="1"/>
  <c r="N116" i="1"/>
  <c r="R116" i="1" s="1"/>
  <c r="N112" i="1"/>
  <c r="Q112" i="1" s="1"/>
  <c r="N108" i="1"/>
  <c r="R108" i="1" s="1"/>
  <c r="N104" i="1"/>
  <c r="R104" i="1" s="1"/>
  <c r="N100" i="1"/>
  <c r="Q100" i="1" s="1"/>
  <c r="N96" i="1"/>
  <c r="R96" i="1" s="1"/>
  <c r="N92" i="1"/>
  <c r="R92" i="1" s="1"/>
  <c r="N88" i="1"/>
  <c r="R88" i="1" s="1"/>
  <c r="N84" i="1"/>
  <c r="O84" i="1" s="1"/>
  <c r="P84" i="1" s="1"/>
  <c r="N80" i="1"/>
  <c r="R80" i="1" s="1"/>
  <c r="N76" i="1"/>
  <c r="R76" i="1" s="1"/>
  <c r="N72" i="1"/>
  <c r="R72" i="1" s="1"/>
  <c r="N68" i="1"/>
  <c r="R68" i="1" s="1"/>
  <c r="N64" i="1"/>
  <c r="O64" i="1" s="1"/>
  <c r="P64" i="1" s="1"/>
  <c r="N60" i="1"/>
  <c r="R60" i="1" s="1"/>
  <c r="N56" i="1"/>
  <c r="Q56" i="1" s="1"/>
  <c r="N52" i="1"/>
  <c r="R52" i="1" s="1"/>
  <c r="N48" i="1"/>
  <c r="R48" i="1" s="1"/>
  <c r="N44" i="1"/>
  <c r="R44" i="1" s="1"/>
  <c r="N40" i="1"/>
  <c r="O40" i="1" s="1"/>
  <c r="P40" i="1" s="1"/>
  <c r="N36" i="1"/>
  <c r="Q36" i="1" s="1"/>
  <c r="N32" i="1"/>
  <c r="R32" i="1" s="1"/>
  <c r="N28" i="1"/>
  <c r="R28" i="1" s="1"/>
  <c r="N24" i="1"/>
  <c r="R24" i="1" s="1"/>
  <c r="N20" i="1"/>
  <c r="O20" i="1" s="1"/>
  <c r="P20" i="1" s="1"/>
  <c r="N16" i="1"/>
  <c r="R16" i="1" s="1"/>
  <c r="N12" i="1"/>
  <c r="R12" i="1" s="1"/>
  <c r="N8" i="1"/>
  <c r="N4" i="1"/>
  <c r="N215" i="1"/>
  <c r="N211" i="1"/>
  <c r="N207" i="1"/>
  <c r="N203" i="1"/>
  <c r="N199" i="1"/>
  <c r="N195" i="1"/>
  <c r="N191" i="1"/>
  <c r="N183" i="1"/>
  <c r="N179" i="1"/>
  <c r="N171" i="1"/>
  <c r="N167" i="1"/>
  <c r="N163" i="1"/>
  <c r="N159" i="1"/>
  <c r="N155" i="1"/>
  <c r="N151" i="1"/>
  <c r="N147" i="1"/>
  <c r="N143" i="1"/>
  <c r="N139" i="1"/>
  <c r="N135" i="1"/>
  <c r="N131" i="1"/>
  <c r="N127" i="1"/>
  <c r="N123" i="1"/>
  <c r="N119" i="1"/>
  <c r="N115" i="1"/>
  <c r="N111" i="1"/>
  <c r="N107" i="1"/>
  <c r="N103" i="1"/>
  <c r="N99" i="1"/>
  <c r="N95" i="1"/>
  <c r="N91" i="1"/>
  <c r="N87" i="1"/>
  <c r="N83" i="1"/>
  <c r="N79" i="1"/>
  <c r="N75" i="1"/>
  <c r="N71" i="1"/>
  <c r="N67" i="1"/>
  <c r="N63" i="1"/>
  <c r="N59" i="1"/>
  <c r="N55" i="1"/>
  <c r="N51" i="1"/>
  <c r="N47" i="1"/>
  <c r="F3" i="3" s="1"/>
  <c r="N43" i="1"/>
  <c r="N39" i="1"/>
  <c r="N35" i="1"/>
  <c r="N31" i="1"/>
  <c r="N27" i="1"/>
  <c r="N23" i="1"/>
  <c r="N19" i="1"/>
  <c r="N15" i="1"/>
  <c r="N11" i="1"/>
  <c r="N7" i="1"/>
  <c r="N3" i="1"/>
  <c r="N218" i="1"/>
  <c r="N214" i="1"/>
  <c r="N210" i="1"/>
  <c r="N206" i="1"/>
  <c r="N202" i="1"/>
  <c r="N194" i="1"/>
  <c r="N190" i="1"/>
  <c r="N182" i="1"/>
  <c r="N178" i="1"/>
  <c r="N174" i="1"/>
  <c r="N170" i="1"/>
  <c r="N166" i="1"/>
  <c r="N162" i="1"/>
  <c r="N158" i="1"/>
  <c r="N154" i="1"/>
  <c r="N150" i="1"/>
  <c r="N146" i="1"/>
  <c r="N142" i="1"/>
  <c r="N138" i="1"/>
  <c r="N134" i="1"/>
  <c r="N130" i="1"/>
  <c r="N126" i="1"/>
  <c r="N122" i="1"/>
  <c r="N118" i="1"/>
  <c r="N114" i="1"/>
  <c r="N110" i="1"/>
  <c r="N106" i="1"/>
  <c r="N102" i="1"/>
  <c r="N98" i="1"/>
  <c r="N94" i="1"/>
  <c r="N90" i="1"/>
  <c r="N86" i="1"/>
  <c r="N82" i="1"/>
  <c r="N78" i="1"/>
  <c r="N74" i="1"/>
  <c r="N70" i="1"/>
  <c r="N66" i="1"/>
  <c r="N62" i="1"/>
  <c r="N58" i="1"/>
  <c r="N54" i="1"/>
  <c r="N50" i="1"/>
  <c r="N46" i="1"/>
  <c r="N42" i="1"/>
  <c r="N38" i="1"/>
  <c r="N34" i="1"/>
  <c r="N30" i="1"/>
  <c r="N26" i="1"/>
  <c r="N22" i="1"/>
  <c r="N18" i="1"/>
  <c r="N14" i="1"/>
  <c r="N10" i="1"/>
  <c r="N6" i="1"/>
  <c r="R131" i="1" l="1"/>
  <c r="Q119" i="1"/>
  <c r="W10" i="1"/>
  <c r="W2" i="1"/>
  <c r="Y10" i="1"/>
  <c r="W5" i="1"/>
  <c r="W9" i="1"/>
  <c r="W6" i="1"/>
  <c r="W3" i="1"/>
  <c r="W8" i="1"/>
  <c r="W11" i="1"/>
  <c r="Y11" i="1"/>
  <c r="Y5" i="1"/>
  <c r="W7" i="1"/>
  <c r="Y6" i="1"/>
  <c r="Y7" i="1"/>
  <c r="Y8" i="1"/>
  <c r="W4" i="1"/>
  <c r="Y9" i="1"/>
  <c r="Y3" i="1"/>
  <c r="Y4" i="1"/>
  <c r="Y2" i="1"/>
  <c r="Q135" i="1"/>
  <c r="Q127" i="1"/>
  <c r="Q144" i="1"/>
  <c r="Q54" i="1"/>
  <c r="Q58" i="1"/>
  <c r="R180" i="1"/>
  <c r="Q62" i="1"/>
  <c r="R66" i="1"/>
  <c r="R103" i="1"/>
  <c r="Q26" i="1"/>
  <c r="Q42" i="1"/>
  <c r="Q139" i="1"/>
  <c r="Q133" i="1"/>
  <c r="O107" i="1"/>
  <c r="P107" i="1" s="1"/>
  <c r="Q111" i="1"/>
  <c r="Q34" i="1"/>
  <c r="R134" i="1"/>
  <c r="Q150" i="1"/>
  <c r="R182" i="1"/>
  <c r="Q214" i="1"/>
  <c r="Q123" i="1"/>
  <c r="Q70" i="1"/>
  <c r="R102" i="1"/>
  <c r="Q86" i="1"/>
  <c r="Q118" i="1"/>
  <c r="Q115" i="1"/>
  <c r="R30" i="1"/>
  <c r="O188" i="1"/>
  <c r="P188" i="1" s="1"/>
  <c r="O46" i="1"/>
  <c r="P46" i="1" s="1"/>
  <c r="R22" i="1"/>
  <c r="Q210" i="1"/>
  <c r="R166" i="1"/>
  <c r="Q184" i="1"/>
  <c r="Q38" i="1"/>
  <c r="R82" i="1"/>
  <c r="Q98" i="1"/>
  <c r="R114" i="1"/>
  <c r="Q130" i="1"/>
  <c r="R146" i="1"/>
  <c r="Q162" i="1"/>
  <c r="Q178" i="1"/>
  <c r="R194" i="1"/>
  <c r="R206" i="1"/>
  <c r="Q18" i="1"/>
  <c r="Q199" i="1"/>
  <c r="Q215" i="1"/>
  <c r="Q218" i="1"/>
  <c r="Q78" i="1"/>
  <c r="R94" i="1"/>
  <c r="Q110" i="1"/>
  <c r="Q126" i="1"/>
  <c r="Q142" i="1"/>
  <c r="R158" i="1"/>
  <c r="R174" i="1"/>
  <c r="Q190" i="1"/>
  <c r="Q90" i="1"/>
  <c r="Q74" i="1"/>
  <c r="R106" i="1"/>
  <c r="O122" i="1"/>
  <c r="P122" i="1" s="1"/>
  <c r="O138" i="1"/>
  <c r="P138" i="1" s="1"/>
  <c r="R154" i="1"/>
  <c r="Q170" i="1"/>
  <c r="R186" i="1"/>
  <c r="Q14" i="1"/>
  <c r="R155" i="1"/>
  <c r="Q171" i="1"/>
  <c r="R187" i="1"/>
  <c r="R219" i="1"/>
  <c r="Q59" i="1"/>
  <c r="R192" i="1"/>
  <c r="Q202" i="1"/>
  <c r="Q207" i="1"/>
  <c r="Q198" i="1"/>
  <c r="R43" i="1"/>
  <c r="Q75" i="1"/>
  <c r="R163" i="1"/>
  <c r="Q179" i="1"/>
  <c r="Q203" i="1"/>
  <c r="O176" i="1"/>
  <c r="P176" i="1" s="1"/>
  <c r="O79" i="1"/>
  <c r="P79" i="1" s="1"/>
  <c r="Q63" i="1"/>
  <c r="Q67" i="1"/>
  <c r="Q83" i="1"/>
  <c r="R23" i="1"/>
  <c r="Q167" i="1"/>
  <c r="Q183" i="1"/>
  <c r="R159" i="1"/>
  <c r="O175" i="1"/>
  <c r="P175" i="1" s="1"/>
  <c r="Q29" i="1"/>
  <c r="R45" i="1"/>
  <c r="Q61" i="1"/>
  <c r="R71" i="1"/>
  <c r="R87" i="1"/>
  <c r="Q25" i="1"/>
  <c r="O41" i="1"/>
  <c r="P41" i="1" s="1"/>
  <c r="R57" i="1"/>
  <c r="R39" i="1"/>
  <c r="O35" i="1"/>
  <c r="P35" i="1" s="1"/>
  <c r="Q51" i="1"/>
  <c r="O33" i="1"/>
  <c r="P33" i="1" s="1"/>
  <c r="R49" i="1"/>
  <c r="O65" i="1"/>
  <c r="P65" i="1" s="1"/>
  <c r="O37" i="1"/>
  <c r="P37" i="1" s="1"/>
  <c r="O53" i="1"/>
  <c r="P53" i="1" s="1"/>
  <c r="Q191" i="1"/>
  <c r="Q91" i="1"/>
  <c r="Q195" i="1"/>
  <c r="R95" i="1"/>
  <c r="Q4" i="1"/>
  <c r="Q99" i="1"/>
  <c r="Q211" i="1"/>
  <c r="O31" i="1"/>
  <c r="P31" i="1" s="1"/>
  <c r="Q27" i="1"/>
  <c r="R19" i="1"/>
  <c r="Q15" i="1"/>
  <c r="R147" i="1"/>
  <c r="Q143" i="1"/>
  <c r="Q151" i="1"/>
  <c r="Q9" i="1"/>
  <c r="O2" i="1"/>
  <c r="P2" i="1" s="1"/>
  <c r="O173" i="1"/>
  <c r="P173" i="1" s="1"/>
  <c r="Q19" i="1"/>
  <c r="Q216" i="1"/>
  <c r="R40" i="1"/>
  <c r="Q217" i="1"/>
  <c r="O152" i="1"/>
  <c r="P152" i="1" s="1"/>
  <c r="R184" i="1"/>
  <c r="O45" i="1"/>
  <c r="P45" i="1" s="1"/>
  <c r="Q109" i="1"/>
  <c r="O169" i="1"/>
  <c r="P169" i="1" s="1"/>
  <c r="O116" i="1"/>
  <c r="P116" i="1" s="1"/>
  <c r="Q153" i="1"/>
  <c r="O57" i="1"/>
  <c r="P57" i="1" s="1"/>
  <c r="Q57" i="1"/>
  <c r="R185" i="1"/>
  <c r="O19" i="1"/>
  <c r="P19" i="1" s="1"/>
  <c r="O105" i="1"/>
  <c r="P105" i="1" s="1"/>
  <c r="O217" i="1"/>
  <c r="P217" i="1" s="1"/>
  <c r="R41" i="1"/>
  <c r="Q121" i="1"/>
  <c r="Q185" i="1"/>
  <c r="O88" i="1"/>
  <c r="P88" i="1" s="1"/>
  <c r="O47" i="1"/>
  <c r="P47" i="1" s="1"/>
  <c r="O121" i="1"/>
  <c r="P121" i="1" s="1"/>
  <c r="R148" i="1"/>
  <c r="R105" i="1"/>
  <c r="R153" i="1"/>
  <c r="O143" i="1"/>
  <c r="P143" i="1" s="1"/>
  <c r="O73" i="1"/>
  <c r="P73" i="1" s="1"/>
  <c r="O137" i="1"/>
  <c r="P137" i="1" s="1"/>
  <c r="Q41" i="1"/>
  <c r="R73" i="1"/>
  <c r="R137" i="1"/>
  <c r="R169" i="1"/>
  <c r="R201" i="1"/>
  <c r="O180" i="1"/>
  <c r="P180" i="1" s="1"/>
  <c r="O89" i="1"/>
  <c r="P89" i="1" s="1"/>
  <c r="O201" i="1"/>
  <c r="P201" i="1" s="1"/>
  <c r="Q164" i="1"/>
  <c r="R89" i="1"/>
  <c r="R31" i="1"/>
  <c r="O78" i="1"/>
  <c r="P78" i="1" s="1"/>
  <c r="O131" i="1"/>
  <c r="P131" i="1" s="1"/>
  <c r="Q40" i="1"/>
  <c r="R115" i="1"/>
  <c r="Q131" i="1"/>
  <c r="O104" i="1"/>
  <c r="P104" i="1" s="1"/>
  <c r="Q72" i="1"/>
  <c r="Q152" i="1"/>
  <c r="R141" i="1"/>
  <c r="R77" i="1"/>
  <c r="Q163" i="1"/>
  <c r="R200" i="1"/>
  <c r="O184" i="1"/>
  <c r="P184" i="1" s="1"/>
  <c r="O67" i="1"/>
  <c r="P67" i="1" s="1"/>
  <c r="O163" i="1"/>
  <c r="P163" i="1" s="1"/>
  <c r="O206" i="1"/>
  <c r="P206" i="1" s="1"/>
  <c r="Q88" i="1"/>
  <c r="R61" i="1"/>
  <c r="Q93" i="1"/>
  <c r="R189" i="1"/>
  <c r="R195" i="1"/>
  <c r="R136" i="1"/>
  <c r="O142" i="1"/>
  <c r="P142" i="1" s="1"/>
  <c r="O141" i="1"/>
  <c r="P141" i="1" s="1"/>
  <c r="R2" i="1"/>
  <c r="O109" i="1"/>
  <c r="P109" i="1" s="1"/>
  <c r="Q2" i="1"/>
  <c r="R51" i="1"/>
  <c r="O136" i="1"/>
  <c r="P136" i="1" s="1"/>
  <c r="O200" i="1"/>
  <c r="P200" i="1" s="1"/>
  <c r="O115" i="1"/>
  <c r="P115" i="1" s="1"/>
  <c r="O179" i="1"/>
  <c r="P179" i="1" s="1"/>
  <c r="O77" i="1"/>
  <c r="P77" i="1" s="1"/>
  <c r="O205" i="1"/>
  <c r="P205" i="1" s="1"/>
  <c r="Q24" i="1"/>
  <c r="R83" i="1"/>
  <c r="R29" i="1"/>
  <c r="R173" i="1"/>
  <c r="Q206" i="1"/>
  <c r="R126" i="1"/>
  <c r="O52" i="1"/>
  <c r="P52" i="1" s="1"/>
  <c r="Q68" i="1"/>
  <c r="R212" i="1"/>
  <c r="Q175" i="1"/>
  <c r="O207" i="1"/>
  <c r="P207" i="1" s="1"/>
  <c r="Q197" i="1"/>
  <c r="R176" i="1"/>
  <c r="R11" i="1"/>
  <c r="R10" i="1"/>
  <c r="O9" i="1"/>
  <c r="P9" i="1" s="1"/>
  <c r="O8" i="1"/>
  <c r="P8" i="1" s="1"/>
  <c r="R7" i="1"/>
  <c r="Q6" i="1"/>
  <c r="Q5" i="1"/>
  <c r="R4" i="1"/>
  <c r="R3" i="1"/>
  <c r="O24" i="1"/>
  <c r="P24" i="1" s="1"/>
  <c r="O72" i="1"/>
  <c r="P72" i="1" s="1"/>
  <c r="O120" i="1"/>
  <c r="P120" i="1" s="1"/>
  <c r="O99" i="1"/>
  <c r="P99" i="1" s="1"/>
  <c r="O147" i="1"/>
  <c r="P147" i="1" s="1"/>
  <c r="O211" i="1"/>
  <c r="P211" i="1" s="1"/>
  <c r="O110" i="1"/>
  <c r="P110" i="1" s="1"/>
  <c r="O174" i="1"/>
  <c r="P174" i="1" s="1"/>
  <c r="O29" i="1"/>
  <c r="P29" i="1" s="1"/>
  <c r="O61" i="1"/>
  <c r="P61" i="1" s="1"/>
  <c r="O93" i="1"/>
  <c r="P93" i="1" s="1"/>
  <c r="O125" i="1"/>
  <c r="P125" i="1" s="1"/>
  <c r="O157" i="1"/>
  <c r="P157" i="1" s="1"/>
  <c r="O189" i="1"/>
  <c r="P189" i="1" s="1"/>
  <c r="Q8" i="1"/>
  <c r="Q120" i="1"/>
  <c r="Q3" i="1"/>
  <c r="R35" i="1"/>
  <c r="R67" i="1"/>
  <c r="R99" i="1"/>
  <c r="Q13" i="1"/>
  <c r="Q45" i="1"/>
  <c r="Q125" i="1"/>
  <c r="Q157" i="1"/>
  <c r="Q205" i="1"/>
  <c r="Q158" i="1"/>
  <c r="Q174" i="1"/>
  <c r="Q147" i="1"/>
  <c r="R179" i="1"/>
  <c r="R211" i="1"/>
  <c r="R8" i="1"/>
  <c r="R56" i="1"/>
  <c r="O3" i="1"/>
  <c r="P3" i="1" s="1"/>
  <c r="O51" i="1"/>
  <c r="P51" i="1" s="1"/>
  <c r="O126" i="1"/>
  <c r="P126" i="1" s="1"/>
  <c r="O190" i="1"/>
  <c r="P190" i="1" s="1"/>
  <c r="Q35" i="1"/>
  <c r="O56" i="1"/>
  <c r="P56" i="1" s="1"/>
  <c r="O168" i="1"/>
  <c r="P168" i="1" s="1"/>
  <c r="O216" i="1"/>
  <c r="P216" i="1" s="1"/>
  <c r="O83" i="1"/>
  <c r="P83" i="1" s="1"/>
  <c r="O195" i="1"/>
  <c r="P195" i="1" s="1"/>
  <c r="O94" i="1"/>
  <c r="P94" i="1" s="1"/>
  <c r="O158" i="1"/>
  <c r="P158" i="1" s="1"/>
  <c r="O13" i="1"/>
  <c r="P13" i="1" s="1"/>
  <c r="Q104" i="1"/>
  <c r="Q168" i="1"/>
  <c r="R190" i="1"/>
  <c r="O30" i="1"/>
  <c r="P30" i="1" s="1"/>
  <c r="O186" i="1"/>
  <c r="P186" i="1" s="1"/>
  <c r="Q95" i="1"/>
  <c r="R170" i="1"/>
  <c r="O62" i="1"/>
  <c r="P62" i="1" s="1"/>
  <c r="O123" i="1"/>
  <c r="P123" i="1" s="1"/>
  <c r="O155" i="1"/>
  <c r="P155" i="1" s="1"/>
  <c r="O133" i="1"/>
  <c r="P133" i="1" s="1"/>
  <c r="O91" i="1"/>
  <c r="P91" i="1" s="1"/>
  <c r="O117" i="1"/>
  <c r="P117" i="1" s="1"/>
  <c r="R197" i="1"/>
  <c r="O192" i="1"/>
  <c r="P192" i="1" s="1"/>
  <c r="Q208" i="1"/>
  <c r="O16" i="1"/>
  <c r="P16" i="1" s="1"/>
  <c r="O160" i="1"/>
  <c r="P160" i="1" s="1"/>
  <c r="R53" i="1"/>
  <c r="O187" i="1"/>
  <c r="P187" i="1" s="1"/>
  <c r="Q128" i="1"/>
  <c r="Q138" i="1"/>
  <c r="R15" i="1"/>
  <c r="R127" i="1"/>
  <c r="O95" i="1"/>
  <c r="P95" i="1" s="1"/>
  <c r="Q79" i="1"/>
  <c r="R191" i="1"/>
  <c r="Q154" i="1"/>
  <c r="Q43" i="1"/>
  <c r="Q32" i="1"/>
  <c r="O48" i="1"/>
  <c r="P48" i="1" s="1"/>
  <c r="O80" i="1"/>
  <c r="P80" i="1" s="1"/>
  <c r="O10" i="1"/>
  <c r="P10" i="1" s="1"/>
  <c r="R107" i="1"/>
  <c r="R144" i="1"/>
  <c r="R75" i="1"/>
  <c r="Q176" i="1"/>
  <c r="Q53" i="1"/>
  <c r="Q101" i="1"/>
  <c r="Q219" i="1"/>
  <c r="O128" i="1"/>
  <c r="P128" i="1" s="1"/>
  <c r="O69" i="1"/>
  <c r="P69" i="1" s="1"/>
  <c r="Q11" i="1"/>
  <c r="R37" i="1"/>
  <c r="R165" i="1"/>
  <c r="Q182" i="1"/>
  <c r="R64" i="1"/>
  <c r="R112" i="1"/>
  <c r="O112" i="1"/>
  <c r="P112" i="1" s="1"/>
  <c r="O27" i="1"/>
  <c r="P27" i="1" s="1"/>
  <c r="O219" i="1"/>
  <c r="P219" i="1" s="1"/>
  <c r="O21" i="1"/>
  <c r="P21" i="1" s="1"/>
  <c r="O181" i="1"/>
  <c r="P181" i="1" s="1"/>
  <c r="Q64" i="1"/>
  <c r="Q96" i="1"/>
  <c r="Q160" i="1"/>
  <c r="Q85" i="1"/>
  <c r="Q165" i="1"/>
  <c r="R122" i="1"/>
  <c r="R171" i="1"/>
  <c r="Q187" i="1"/>
  <c r="R203" i="1"/>
  <c r="R208" i="1"/>
  <c r="Q122" i="1"/>
  <c r="R78" i="1"/>
  <c r="O75" i="1"/>
  <c r="P75" i="1" s="1"/>
  <c r="O5" i="1"/>
  <c r="P5" i="1" s="1"/>
  <c r="Q16" i="1"/>
  <c r="Q48" i="1"/>
  <c r="Q107" i="1"/>
  <c r="Q192" i="1"/>
  <c r="R5" i="1"/>
  <c r="R21" i="1"/>
  <c r="R69" i="1"/>
  <c r="R117" i="1"/>
  <c r="R133" i="1"/>
  <c r="R149" i="1"/>
  <c r="Q37" i="1"/>
  <c r="R181" i="1"/>
  <c r="R213" i="1"/>
  <c r="R198" i="1"/>
  <c r="Q155" i="1"/>
  <c r="O32" i="1"/>
  <c r="P32" i="1" s="1"/>
  <c r="O144" i="1"/>
  <c r="P144" i="1" s="1"/>
  <c r="O139" i="1"/>
  <c r="P139" i="1" s="1"/>
  <c r="O198" i="1"/>
  <c r="P198" i="1" s="1"/>
  <c r="O182" i="1"/>
  <c r="P182" i="1" s="1"/>
  <c r="O101" i="1"/>
  <c r="P101" i="1" s="1"/>
  <c r="O96" i="1"/>
  <c r="P96" i="1" s="1"/>
  <c r="O11" i="1"/>
  <c r="P11" i="1" s="1"/>
  <c r="O171" i="1"/>
  <c r="P171" i="1" s="1"/>
  <c r="O203" i="1"/>
  <c r="P203" i="1" s="1"/>
  <c r="O85" i="1"/>
  <c r="P85" i="1" s="1"/>
  <c r="O149" i="1"/>
  <c r="P149" i="1" s="1"/>
  <c r="O213" i="1"/>
  <c r="P213" i="1" s="1"/>
  <c r="Q80" i="1"/>
  <c r="R139" i="1"/>
  <c r="O22" i="1"/>
  <c r="P22" i="1" s="1"/>
  <c r="O14" i="1"/>
  <c r="P14" i="1" s="1"/>
  <c r="Q30" i="1"/>
  <c r="R110" i="1"/>
  <c r="R142" i="1"/>
  <c r="R145" i="1"/>
  <c r="R42" i="1"/>
  <c r="F4" i="3"/>
  <c r="F9" i="3"/>
  <c r="F8" i="3"/>
  <c r="F7" i="3"/>
  <c r="O4" i="1"/>
  <c r="P4" i="1" s="1"/>
  <c r="O68" i="1"/>
  <c r="P68" i="1" s="1"/>
  <c r="O132" i="1"/>
  <c r="P132" i="1" s="1"/>
  <c r="O196" i="1"/>
  <c r="P196" i="1" s="1"/>
  <c r="O15" i="1"/>
  <c r="P15" i="1" s="1"/>
  <c r="O159" i="1"/>
  <c r="P159" i="1" s="1"/>
  <c r="O202" i="1"/>
  <c r="P202" i="1" s="1"/>
  <c r="O26" i="1"/>
  <c r="P26" i="1" s="1"/>
  <c r="O58" i="1"/>
  <c r="P58" i="1" s="1"/>
  <c r="O90" i="1"/>
  <c r="P90" i="1" s="1"/>
  <c r="O154" i="1"/>
  <c r="P154" i="1" s="1"/>
  <c r="O218" i="1"/>
  <c r="P218" i="1" s="1"/>
  <c r="Q20" i="1"/>
  <c r="Q84" i="1"/>
  <c r="R132" i="1"/>
  <c r="R196" i="1"/>
  <c r="R79" i="1"/>
  <c r="Q180" i="1"/>
  <c r="R9" i="1"/>
  <c r="R138" i="1"/>
  <c r="R90" i="1"/>
  <c r="R218" i="1"/>
  <c r="Q159" i="1"/>
  <c r="R175" i="1"/>
  <c r="R20" i="1"/>
  <c r="R100" i="1"/>
  <c r="Q106" i="1"/>
  <c r="I7" i="3"/>
  <c r="I9" i="3"/>
  <c r="O25" i="1"/>
  <c r="P25" i="1" s="1"/>
  <c r="O100" i="1"/>
  <c r="P100" i="1" s="1"/>
  <c r="O164" i="1"/>
  <c r="P164" i="1" s="1"/>
  <c r="O127" i="1"/>
  <c r="P127" i="1" s="1"/>
  <c r="O191" i="1"/>
  <c r="P191" i="1" s="1"/>
  <c r="O42" i="1"/>
  <c r="P42" i="1" s="1"/>
  <c r="O74" i="1"/>
  <c r="P74" i="1" s="1"/>
  <c r="O106" i="1"/>
  <c r="P106" i="1" s="1"/>
  <c r="O170" i="1"/>
  <c r="P170" i="1" s="1"/>
  <c r="Q52" i="1"/>
  <c r="Q116" i="1"/>
  <c r="Q31" i="1"/>
  <c r="R47" i="1"/>
  <c r="R63" i="1"/>
  <c r="R111" i="1"/>
  <c r="Q148" i="1"/>
  <c r="Q212" i="1"/>
  <c r="R25" i="1"/>
  <c r="R74" i="1"/>
  <c r="R202" i="1"/>
  <c r="R26" i="1"/>
  <c r="R143" i="1"/>
  <c r="R207" i="1"/>
  <c r="R36" i="1"/>
  <c r="R84" i="1"/>
  <c r="Q186" i="1"/>
  <c r="I4" i="3"/>
  <c r="O36" i="1"/>
  <c r="P36" i="1" s="1"/>
  <c r="O63" i="1"/>
  <c r="P63" i="1" s="1"/>
  <c r="O111" i="1"/>
  <c r="P111" i="1" s="1"/>
  <c r="Q47" i="1"/>
  <c r="R58" i="1"/>
  <c r="Q10" i="1"/>
  <c r="I3" i="3"/>
  <c r="I8" i="3"/>
  <c r="H7" i="3"/>
  <c r="H9" i="3"/>
  <c r="H4" i="3"/>
  <c r="H3" i="3"/>
  <c r="G7" i="3"/>
  <c r="G9" i="3"/>
  <c r="G4" i="3"/>
  <c r="G3" i="3"/>
  <c r="O59" i="1"/>
  <c r="P59" i="1" s="1"/>
  <c r="O214" i="1"/>
  <c r="P214" i="1" s="1"/>
  <c r="R27" i="1"/>
  <c r="R59" i="1"/>
  <c r="R91" i="1"/>
  <c r="R123" i="1"/>
  <c r="Q134" i="1"/>
  <c r="O43" i="1"/>
  <c r="P43" i="1" s="1"/>
  <c r="O86" i="1"/>
  <c r="P86" i="1" s="1"/>
  <c r="O70" i="1"/>
  <c r="P70" i="1" s="1"/>
  <c r="O150" i="1"/>
  <c r="P150" i="1" s="1"/>
  <c r="R214" i="1"/>
  <c r="O6" i="1"/>
  <c r="P6" i="1" s="1"/>
  <c r="O134" i="1"/>
  <c r="P134" i="1" s="1"/>
  <c r="Q22" i="1"/>
  <c r="Q94" i="1"/>
  <c r="R62" i="1"/>
  <c r="O210" i="1"/>
  <c r="P210" i="1" s="1"/>
  <c r="R140" i="1"/>
  <c r="R135" i="1"/>
  <c r="R33" i="1"/>
  <c r="Q193" i="1"/>
  <c r="Q23" i="1"/>
  <c r="R17" i="1"/>
  <c r="O114" i="1"/>
  <c r="P114" i="1" s="1"/>
  <c r="Q87" i="1"/>
  <c r="R97" i="1"/>
  <c r="R129" i="1"/>
  <c r="Q177" i="1"/>
  <c r="R199" i="1"/>
  <c r="O178" i="1"/>
  <c r="P178" i="1" s="1"/>
  <c r="R204" i="1"/>
  <c r="R81" i="1"/>
  <c r="R113" i="1"/>
  <c r="R172" i="1"/>
  <c r="R65" i="1"/>
  <c r="R161" i="1"/>
  <c r="Q209" i="1"/>
  <c r="O38" i="1"/>
  <c r="P38" i="1" s="1"/>
  <c r="O102" i="1"/>
  <c r="P102" i="1" s="1"/>
  <c r="O166" i="1"/>
  <c r="P166" i="1" s="1"/>
  <c r="Q102" i="1"/>
  <c r="Q166" i="1"/>
  <c r="R55" i="1"/>
  <c r="O54" i="1"/>
  <c r="P54" i="1" s="1"/>
  <c r="O118" i="1"/>
  <c r="P118" i="1" s="1"/>
  <c r="R54" i="1"/>
  <c r="O215" i="1"/>
  <c r="P215" i="1" s="1"/>
  <c r="O130" i="1"/>
  <c r="P130" i="1" s="1"/>
  <c r="O194" i="1"/>
  <c r="P194" i="1" s="1"/>
  <c r="Q7" i="1"/>
  <c r="Q71" i="1"/>
  <c r="Q140" i="1"/>
  <c r="Q156" i="1"/>
  <c r="Q172" i="1"/>
  <c r="Q188" i="1"/>
  <c r="Q204" i="1"/>
  <c r="Q220" i="1"/>
  <c r="Q33" i="1"/>
  <c r="Q65" i="1"/>
  <c r="Q81" i="1"/>
  <c r="Q97" i="1"/>
  <c r="Q17" i="1"/>
  <c r="Q49" i="1"/>
  <c r="Q113" i="1"/>
  <c r="Q129" i="1"/>
  <c r="Q145" i="1"/>
  <c r="Q161" i="1"/>
  <c r="R14" i="1"/>
  <c r="R178" i="1"/>
  <c r="R46" i="1"/>
  <c r="R183" i="1"/>
  <c r="R124" i="1"/>
  <c r="O82" i="1"/>
  <c r="P82" i="1" s="1"/>
  <c r="O146" i="1"/>
  <c r="P146" i="1" s="1"/>
  <c r="O18" i="1"/>
  <c r="P18" i="1" s="1"/>
  <c r="O34" i="1"/>
  <c r="P34" i="1" s="1"/>
  <c r="O49" i="1"/>
  <c r="P49" i="1" s="1"/>
  <c r="O177" i="1"/>
  <c r="P177" i="1" s="1"/>
  <c r="O193" i="1"/>
  <c r="P193" i="1" s="1"/>
  <c r="O209" i="1"/>
  <c r="P209" i="1" s="1"/>
  <c r="Q12" i="1"/>
  <c r="Q28" i="1"/>
  <c r="Q44" i="1"/>
  <c r="Q60" i="1"/>
  <c r="Q76" i="1"/>
  <c r="Q92" i="1"/>
  <c r="Q108" i="1"/>
  <c r="Q124" i="1"/>
  <c r="R156" i="1"/>
  <c r="R188" i="1"/>
  <c r="R220" i="1"/>
  <c r="Q55" i="1"/>
  <c r="R119" i="1"/>
  <c r="R210" i="1"/>
  <c r="Q46" i="1"/>
  <c r="R167" i="1"/>
  <c r="O12" i="1"/>
  <c r="P12" i="1" s="1"/>
  <c r="O28" i="1"/>
  <c r="P28" i="1" s="1"/>
  <c r="O44" i="1"/>
  <c r="P44" i="1" s="1"/>
  <c r="O60" i="1"/>
  <c r="P60" i="1" s="1"/>
  <c r="O76" i="1"/>
  <c r="P76" i="1" s="1"/>
  <c r="O92" i="1"/>
  <c r="P92" i="1" s="1"/>
  <c r="O108" i="1"/>
  <c r="P108" i="1" s="1"/>
  <c r="O98" i="1"/>
  <c r="P98" i="1" s="1"/>
  <c r="O162" i="1"/>
  <c r="P162" i="1" s="1"/>
  <c r="O7" i="1"/>
  <c r="P7" i="1" s="1"/>
  <c r="O23" i="1"/>
  <c r="P23" i="1" s="1"/>
  <c r="O39" i="1"/>
  <c r="P39" i="1" s="1"/>
  <c r="O55" i="1"/>
  <c r="P55" i="1" s="1"/>
  <c r="O71" i="1"/>
  <c r="P71" i="1" s="1"/>
  <c r="O87" i="1"/>
  <c r="P87" i="1" s="1"/>
  <c r="O103" i="1"/>
  <c r="P103" i="1" s="1"/>
  <c r="O119" i="1"/>
  <c r="P119" i="1" s="1"/>
  <c r="O135" i="1"/>
  <c r="P135" i="1" s="1"/>
  <c r="O151" i="1"/>
  <c r="P151" i="1" s="1"/>
  <c r="O167" i="1"/>
  <c r="P167" i="1" s="1"/>
  <c r="O183" i="1"/>
  <c r="P183" i="1" s="1"/>
  <c r="O199" i="1"/>
  <c r="P199" i="1" s="1"/>
  <c r="Q39" i="1"/>
  <c r="Q103" i="1"/>
  <c r="R151" i="1"/>
  <c r="R215" i="1"/>
  <c r="Q114" i="1"/>
  <c r="R98" i="1"/>
  <c r="O50" i="1"/>
  <c r="P50" i="1" s="1"/>
  <c r="R38" i="1"/>
  <c r="R86" i="1"/>
  <c r="R18" i="1"/>
  <c r="R6" i="1"/>
  <c r="R70" i="1"/>
  <c r="R118" i="1"/>
  <c r="R150" i="1"/>
  <c r="Q146" i="1"/>
  <c r="O66" i="1"/>
  <c r="P66" i="1" s="1"/>
  <c r="Q50" i="1"/>
  <c r="R50" i="1"/>
  <c r="R130" i="1"/>
  <c r="Q82" i="1"/>
  <c r="R34" i="1"/>
  <c r="R162" i="1"/>
  <c r="Q66" i="1"/>
  <c r="Q194" i="1"/>
  <c r="G8" i="3" l="1"/>
  <c r="H8" i="3"/>
  <c r="H5" i="3"/>
  <c r="I5" i="3"/>
  <c r="H6" i="3"/>
  <c r="I6" i="3"/>
  <c r="H10" i="3"/>
  <c r="I10" i="3"/>
  <c r="H11" i="3"/>
  <c r="I11" i="3"/>
  <c r="H2" i="3"/>
  <c r="I2" i="3"/>
  <c r="F5" i="3"/>
  <c r="G5" i="3"/>
  <c r="F6" i="3"/>
  <c r="G6" i="3"/>
  <c r="F10" i="3"/>
  <c r="G10" i="3"/>
  <c r="F11" i="3"/>
  <c r="G11" i="3"/>
  <c r="F2" i="3"/>
  <c r="G2" i="3"/>
  <c r="P58" i="3"/>
  <c r="P50" i="3"/>
  <c r="P46" i="3"/>
  <c r="P51" i="3"/>
  <c r="P53" i="3"/>
  <c r="P62" i="3"/>
  <c r="P61" i="3"/>
  <c r="P3" i="3" l="1"/>
  <c r="P7" i="3"/>
  <c r="P11" i="3"/>
  <c r="P15" i="3"/>
  <c r="P19" i="3"/>
  <c r="P4" i="3"/>
  <c r="P8" i="3"/>
  <c r="P12" i="3"/>
  <c r="P16" i="3"/>
  <c r="P20" i="3"/>
  <c r="P5" i="3"/>
  <c r="P9" i="3"/>
  <c r="P13" i="3"/>
  <c r="P17" i="3"/>
  <c r="P21" i="3"/>
  <c r="P6" i="3"/>
  <c r="P10" i="3"/>
  <c r="P14" i="3"/>
  <c r="P18" i="3"/>
  <c r="P2" i="3"/>
  <c r="R23" i="3" s="1"/>
  <c r="N14" i="3"/>
  <c r="N13" i="3"/>
  <c r="N17" i="3"/>
  <c r="N15" i="3"/>
  <c r="N18" i="3"/>
  <c r="N21" i="3"/>
  <c r="N20" i="3"/>
  <c r="N7" i="3"/>
  <c r="N16" i="3"/>
  <c r="N5" i="3"/>
  <c r="N12" i="3"/>
  <c r="N11" i="3"/>
  <c r="N3" i="3"/>
  <c r="N10" i="3"/>
  <c r="N9" i="3"/>
  <c r="N8" i="3"/>
  <c r="N2" i="3"/>
  <c r="N4" i="3"/>
  <c r="N19" i="3"/>
  <c r="N6" i="3"/>
  <c r="P60" i="3"/>
  <c r="P55" i="3"/>
  <c r="P49" i="3"/>
  <c r="P54" i="3"/>
  <c r="P47" i="3"/>
  <c r="P48" i="3"/>
  <c r="P56" i="3"/>
  <c r="P57" i="3"/>
  <c r="P59" i="3"/>
  <c r="P44" i="3"/>
  <c r="P52" i="3"/>
  <c r="P63" i="3"/>
  <c r="P45" i="3"/>
  <c r="O6" i="3"/>
  <c r="Q27" i="3" s="1"/>
  <c r="T27" i="3" s="1"/>
  <c r="O10" i="3"/>
  <c r="Q31" i="3" s="1"/>
  <c r="T31" i="3" s="1"/>
  <c r="O14" i="3"/>
  <c r="Q35" i="3" s="1"/>
  <c r="T35" i="3" s="1"/>
  <c r="O18" i="3"/>
  <c r="Q39" i="3" s="1"/>
  <c r="T39" i="3" s="1"/>
  <c r="O2" i="3"/>
  <c r="Q23" i="3" s="1"/>
  <c r="T23" i="3" s="1"/>
  <c r="O3" i="3"/>
  <c r="Q24" i="3" s="1"/>
  <c r="T24" i="3" s="1"/>
  <c r="O7" i="3"/>
  <c r="Q28" i="3" s="1"/>
  <c r="T28" i="3" s="1"/>
  <c r="O11" i="3"/>
  <c r="Q32" i="3" s="1"/>
  <c r="T32" i="3" s="1"/>
  <c r="O15" i="3"/>
  <c r="Q36" i="3" s="1"/>
  <c r="T36" i="3" s="1"/>
  <c r="O19" i="3"/>
  <c r="Q40" i="3" s="1"/>
  <c r="T40" i="3" s="1"/>
  <c r="O4" i="3"/>
  <c r="Q25" i="3" s="1"/>
  <c r="T25" i="3" s="1"/>
  <c r="O8" i="3"/>
  <c r="Q29" i="3" s="1"/>
  <c r="T29" i="3" s="1"/>
  <c r="O12" i="3"/>
  <c r="Q33" i="3" s="1"/>
  <c r="T33" i="3" s="1"/>
  <c r="O16" i="3"/>
  <c r="Q37" i="3" s="1"/>
  <c r="T37" i="3" s="1"/>
  <c r="O20" i="3"/>
  <c r="Q41" i="3" s="1"/>
  <c r="T41" i="3" s="1"/>
  <c r="O5" i="3"/>
  <c r="Q26" i="3" s="1"/>
  <c r="T26" i="3" s="1"/>
  <c r="O21" i="3"/>
  <c r="Q42" i="3" s="1"/>
  <c r="T42" i="3" s="1"/>
  <c r="O9" i="3"/>
  <c r="Q30" i="3" s="1"/>
  <c r="T30" i="3" s="1"/>
  <c r="O13" i="3"/>
  <c r="Q34" i="3" s="1"/>
  <c r="T34" i="3" s="1"/>
  <c r="O17" i="3"/>
  <c r="Q38" i="3" s="1"/>
  <c r="T38" i="3" s="1"/>
  <c r="H16" i="3" l="1"/>
  <c r="H17" i="3"/>
  <c r="H19" i="3"/>
  <c r="H22" i="3"/>
  <c r="H18" i="3"/>
  <c r="H26" i="3"/>
  <c r="H23" i="3"/>
  <c r="H30" i="3"/>
  <c r="H21" i="3"/>
  <c r="H14" i="3"/>
  <c r="H20" i="3"/>
  <c r="H31" i="3"/>
  <c r="H28" i="3"/>
  <c r="H32" i="3"/>
  <c r="H24" i="3"/>
  <c r="H15" i="3"/>
  <c r="H13" i="3"/>
  <c r="H27" i="3"/>
  <c r="H29" i="3"/>
  <c r="H25" i="3"/>
  <c r="P27" i="3"/>
  <c r="S27" i="3" s="1"/>
  <c r="Q6" i="3"/>
  <c r="P29" i="3"/>
  <c r="S29" i="3" s="1"/>
  <c r="Q8" i="3"/>
  <c r="P32" i="3"/>
  <c r="S32" i="3" s="1"/>
  <c r="Q11" i="3"/>
  <c r="P28" i="3"/>
  <c r="S28" i="3" s="1"/>
  <c r="Q7" i="3"/>
  <c r="P36" i="3"/>
  <c r="S36" i="3" s="1"/>
  <c r="Q15" i="3"/>
  <c r="P40" i="3"/>
  <c r="S40" i="3" s="1"/>
  <c r="Q19" i="3"/>
  <c r="P30" i="3"/>
  <c r="S30" i="3" s="1"/>
  <c r="Q9" i="3"/>
  <c r="P33" i="3"/>
  <c r="S33" i="3" s="1"/>
  <c r="Q12" i="3"/>
  <c r="P41" i="3"/>
  <c r="S41" i="3" s="1"/>
  <c r="Q20" i="3"/>
  <c r="P38" i="3"/>
  <c r="S38" i="3" s="1"/>
  <c r="Q17" i="3"/>
  <c r="P25" i="3"/>
  <c r="S25" i="3" s="1"/>
  <c r="Q4" i="3"/>
  <c r="P31" i="3"/>
  <c r="S31" i="3" s="1"/>
  <c r="Q10" i="3"/>
  <c r="P26" i="3"/>
  <c r="S26" i="3" s="1"/>
  <c r="Q5" i="3"/>
  <c r="P42" i="3"/>
  <c r="S42" i="3" s="1"/>
  <c r="Q21" i="3"/>
  <c r="P34" i="3"/>
  <c r="S34" i="3" s="1"/>
  <c r="Q13" i="3"/>
  <c r="P23" i="3"/>
  <c r="S23" i="3" s="1"/>
  <c r="Q2" i="3"/>
  <c r="P24" i="3"/>
  <c r="S24" i="3" s="1"/>
  <c r="Q3" i="3"/>
  <c r="P37" i="3"/>
  <c r="S37" i="3" s="1"/>
  <c r="Q16" i="3"/>
  <c r="P39" i="3"/>
  <c r="S39" i="3" s="1"/>
  <c r="Q18" i="3"/>
  <c r="P35" i="3"/>
  <c r="S35" i="3" s="1"/>
  <c r="Q14" i="3"/>
  <c r="R30" i="3"/>
  <c r="U30" i="3" s="1"/>
  <c r="U23" i="3"/>
  <c r="R31" i="3"/>
  <c r="U31" i="3" s="1"/>
  <c r="R28" i="3"/>
  <c r="U28" i="3" s="1"/>
  <c r="R34" i="3"/>
  <c r="U34" i="3" s="1"/>
  <c r="R35" i="3"/>
  <c r="U35" i="3" s="1"/>
  <c r="R25" i="3"/>
  <c r="U25" i="3" s="1"/>
  <c r="R32" i="3"/>
  <c r="U32" i="3" s="1"/>
  <c r="R24" i="3"/>
  <c r="U24" i="3" s="1"/>
  <c r="R40" i="3"/>
  <c r="U40" i="3" s="1"/>
  <c r="R42" i="3"/>
  <c r="U42" i="3" s="1"/>
  <c r="R27" i="3"/>
  <c r="U27" i="3" s="1"/>
  <c r="R38" i="3"/>
  <c r="U38" i="3" s="1"/>
  <c r="R29" i="3"/>
  <c r="U29" i="3" s="1"/>
  <c r="R26" i="3"/>
  <c r="U26" i="3" s="1"/>
  <c r="R39" i="3"/>
  <c r="U39" i="3" s="1"/>
  <c r="R41" i="3"/>
  <c r="U41" i="3" s="1"/>
  <c r="R36" i="3"/>
  <c r="U36" i="3" s="1"/>
  <c r="R4" i="3" l="1"/>
  <c r="R20" i="3"/>
  <c r="R9" i="3"/>
  <c r="R11" i="3"/>
  <c r="R18" i="3"/>
  <c r="R2" i="3"/>
  <c r="R17" i="3"/>
  <c r="R3" i="3"/>
  <c r="R5" i="3"/>
  <c r="R10" i="3"/>
  <c r="R14" i="3"/>
  <c r="R7" i="3"/>
  <c r="R13" i="3"/>
  <c r="R21" i="3"/>
  <c r="R37" i="3"/>
  <c r="U37" i="3" s="1"/>
  <c r="R16" i="3"/>
  <c r="R6" i="3"/>
  <c r="R19" i="3"/>
  <c r="R8" i="3"/>
  <c r="R33" i="3"/>
  <c r="U33" i="3" s="1"/>
  <c r="R12" i="3"/>
  <c r="R15" i="3"/>
</calcChain>
</file>

<file path=xl/sharedStrings.xml><?xml version="1.0" encoding="utf-8"?>
<sst xmlns="http://schemas.openxmlformats.org/spreadsheetml/2006/main" count="1232" uniqueCount="71">
  <si>
    <t>Manchester City</t>
  </si>
  <si>
    <t>Manchester United</t>
  </si>
  <si>
    <t>Chelsea</t>
  </si>
  <si>
    <t>Arsenal</t>
  </si>
  <si>
    <t>Tottenham Hotspur</t>
  </si>
  <si>
    <t>Liverpool</t>
  </si>
  <si>
    <t>Everton</t>
  </si>
  <si>
    <t>Burnley</t>
  </si>
  <si>
    <t>Watford</t>
  </si>
  <si>
    <t>Bournemouth</t>
  </si>
  <si>
    <t>Brighton</t>
  </si>
  <si>
    <t>Crystal Palace</t>
  </si>
  <si>
    <t>Southampton</t>
  </si>
  <si>
    <t>Swansea City</t>
  </si>
  <si>
    <t>Huddersfield</t>
  </si>
  <si>
    <t>West Bromwich</t>
  </si>
  <si>
    <t>West Ham United</t>
  </si>
  <si>
    <t>Stoke City</t>
  </si>
  <si>
    <t>Leicester City</t>
  </si>
  <si>
    <t>Upcoming Fixtures:</t>
  </si>
  <si>
    <t>HOME</t>
  </si>
  <si>
    <t>AWAY</t>
  </si>
  <si>
    <t>vs</t>
  </si>
  <si>
    <t>Newcastle</t>
  </si>
  <si>
    <t>:</t>
  </si>
  <si>
    <t>Coeff</t>
  </si>
  <si>
    <t>Score</t>
  </si>
  <si>
    <t>Winner</t>
  </si>
  <si>
    <t>Pts</t>
  </si>
  <si>
    <t>Team</t>
  </si>
  <si>
    <t>Pos</t>
  </si>
  <si>
    <t>W</t>
  </si>
  <si>
    <t>D</t>
  </si>
  <si>
    <t>L</t>
  </si>
  <si>
    <t>GD</t>
  </si>
  <si>
    <t>Loser</t>
  </si>
  <si>
    <t>Draw1</t>
  </si>
  <si>
    <t>Draw2</t>
  </si>
  <si>
    <t>Form</t>
  </si>
  <si>
    <t>Cur_Points</t>
  </si>
  <si>
    <t>Last_Win?</t>
  </si>
  <si>
    <t>Last_Lose?</t>
  </si>
  <si>
    <t>Last_Draw?</t>
  </si>
  <si>
    <t>Match_Pts</t>
  </si>
  <si>
    <t>New_Score</t>
  </si>
  <si>
    <t>Cur_Wins</t>
  </si>
  <si>
    <t>Cur_Draws</t>
  </si>
  <si>
    <t>Cur_Lose</t>
  </si>
  <si>
    <t>Win?</t>
  </si>
  <si>
    <t>Lose?</t>
  </si>
  <si>
    <t>Draw?</t>
  </si>
  <si>
    <t>New_Wins</t>
  </si>
  <si>
    <t>New_Draws</t>
  </si>
  <si>
    <t>New_Losses</t>
  </si>
  <si>
    <t>Current_GD</t>
  </si>
  <si>
    <t>New_Goals</t>
  </si>
  <si>
    <t>New_Concede</t>
  </si>
  <si>
    <t>New_GD</t>
  </si>
  <si>
    <t>Form5</t>
  </si>
  <si>
    <t>Form4</t>
  </si>
  <si>
    <t>Form3</t>
  </si>
  <si>
    <t>Form2</t>
  </si>
  <si>
    <t>Form1</t>
  </si>
  <si>
    <t>New_Form</t>
  </si>
  <si>
    <t>-</t>
  </si>
  <si>
    <t>Matchday +1</t>
  </si>
  <si>
    <t>No Team</t>
  </si>
  <si>
    <t>MP</t>
  </si>
  <si>
    <t>Matchday</t>
  </si>
  <si>
    <t>Form6</t>
  </si>
  <si>
    <t>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</si>
</sst>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0" xfId="0" applyFill="1"/>
    <xf numFmtId="0" fontId="3" fillId="2" borderId="2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right"/>
    </xf>
    <xf numFmtId="0" fontId="2" fillId="2" borderId="7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0" fontId="5" fillId="2" borderId="10" xfId="0" applyNumberFormat="1" applyFont="1" applyFill="1" applyBorder="1" applyAlignment="1">
      <alignment horizontal="left"/>
    </xf>
    <xf numFmtId="0" fontId="0" fillId="0" borderId="9" xfId="0" applyBorder="1"/>
    <xf numFmtId="0" fontId="6" fillId="0" borderId="1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4" xfId="0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0" fillId="0" borderId="9" xfId="0" applyFill="1" applyBorder="1"/>
    <xf numFmtId="0" fontId="0" fillId="0" borderId="11" xfId="0" applyBorder="1"/>
    <xf numFmtId="0" fontId="5" fillId="5" borderId="9" xfId="0" applyFont="1" applyFill="1" applyBorder="1"/>
    <xf numFmtId="0" fontId="5" fillId="0" borderId="9" xfId="0" applyFont="1" applyFill="1" applyBorder="1"/>
    <xf numFmtId="0" fontId="5" fillId="0" borderId="9" xfId="0" applyFont="1" applyBorder="1"/>
    <xf numFmtId="0" fontId="5" fillId="4" borderId="9" xfId="0" applyFont="1" applyFill="1" applyBorder="1"/>
    <xf numFmtId="0" fontId="5" fillId="3" borderId="9" xfId="0" applyFont="1" applyFill="1" applyBorder="1"/>
    <xf numFmtId="0" fontId="9" fillId="2" borderId="12" xfId="0" applyFont="1" applyFill="1" applyBorder="1" applyAlignment="1"/>
    <xf numFmtId="0" fontId="8" fillId="0" borderId="9" xfId="0" applyFont="1" applyFill="1" applyBorder="1"/>
    <xf numFmtId="0" fontId="11" fillId="2" borderId="2" xfId="0" applyFont="1" applyFill="1" applyBorder="1" applyAlignment="1">
      <alignment horizontal="right"/>
    </xf>
    <xf numFmtId="0" fontId="12" fillId="2" borderId="2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right"/>
    </xf>
    <xf numFmtId="0" fontId="12" fillId="2" borderId="0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/>
    </xf>
    <xf numFmtId="0" fontId="11" fillId="2" borderId="7" xfId="0" applyFont="1" applyFill="1" applyBorder="1" applyAlignment="1">
      <alignment horizontal="right"/>
    </xf>
    <xf numFmtId="0" fontId="12" fillId="2" borderId="7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left"/>
    </xf>
    <xf numFmtId="0" fontId="10" fillId="0" borderId="6" xfId="0" applyFont="1" applyBorder="1" applyAlignment="1"/>
    <xf numFmtId="0" fontId="10" fillId="0" borderId="4" xfId="0" applyFont="1" applyBorder="1" applyAlignment="1"/>
    <xf numFmtId="0" fontId="10" fillId="0" borderId="1" xfId="0" applyFont="1" applyBorder="1" applyAlignment="1"/>
    <xf numFmtId="0" fontId="10" fillId="0" borderId="8" xfId="0" applyFont="1" applyBorder="1" applyAlignment="1"/>
    <xf numFmtId="0" fontId="10" fillId="0" borderId="5" xfId="0" applyFont="1" applyBorder="1" applyAlignment="1"/>
    <xf numFmtId="0" fontId="10" fillId="0" borderId="3" xfId="0" applyFont="1" applyBorder="1" applyAlignment="1"/>
    <xf numFmtId="0" fontId="0" fillId="0" borderId="9" xfId="0" applyFont="1" applyBorder="1" applyAlignment="1"/>
    <xf numFmtId="0" fontId="13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9" fillId="0" borderId="9" xfId="0" applyFont="1" applyBorder="1"/>
    <xf numFmtId="0" fontId="5" fillId="0" borderId="13" xfId="0" applyFont="1" applyBorder="1"/>
    <xf numFmtId="0" fontId="6" fillId="0" borderId="6" xfId="0" applyFont="1" applyBorder="1" applyAlignment="1">
      <alignment horizontal="right"/>
    </xf>
    <xf numFmtId="0" fontId="6" fillId="0" borderId="8" xfId="0" applyFont="1" applyBorder="1"/>
    <xf numFmtId="0" fontId="0" fillId="2" borderId="14" xfId="0" applyFont="1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4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</cellXfs>
  <cellStyles count="1">
    <cellStyle name="Normal" xfId="0" builtinId="0"/>
  </cellStyles>
  <dxfs count="41">
    <dxf>
      <font>
        <b/>
        <i val="0"/>
        <color theme="0"/>
      </font>
      <fill>
        <gradientFill degree="315">
          <stop position="0">
            <color theme="4" tint="-0.49803155613879818"/>
          </stop>
          <stop position="1">
            <color theme="4"/>
          </stop>
        </gradientFill>
      </fill>
    </dxf>
    <dxf>
      <font>
        <b/>
        <i val="0"/>
        <color rgb="FFFFFF00"/>
      </font>
      <fill>
        <gradientFill degree="315">
          <stop position="0">
            <color rgb="FFFF0000"/>
          </stop>
          <stop position="1">
            <color theme="0"/>
          </stop>
        </gradientFill>
      </fill>
    </dxf>
    <dxf>
      <font>
        <b/>
        <i val="0"/>
        <color rgb="FFFFFF00"/>
      </font>
      <fill>
        <gradientFill degree="18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rgb="FFFFC000"/>
      </font>
      <fill>
        <gradientFill degree="315">
          <stop position="0">
            <color theme="5" tint="-0.49803155613879818"/>
          </stop>
          <stop position="1">
            <color theme="5" tint="-0.25098422193060094"/>
          </stop>
        </gradientFill>
      </fill>
    </dxf>
    <dxf>
      <font>
        <b/>
        <i val="0"/>
        <color theme="0"/>
      </font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theme="0"/>
      </font>
      <fill>
        <gradientFill degree="315">
          <stop position="0">
            <color theme="4" tint="0.40000610370189521"/>
          </stop>
          <stop position="1">
            <color theme="4"/>
          </stop>
        </gradientFill>
      </fill>
    </dxf>
    <dxf>
      <font>
        <b/>
        <i val="0"/>
        <color theme="1"/>
      </font>
      <fill>
        <gradientFill>
          <stop position="0">
            <color theme="4"/>
          </stop>
          <stop position="0.5">
            <color theme="0"/>
          </stop>
          <stop position="1">
            <color theme="4"/>
          </stop>
        </gradientFill>
      </fill>
    </dxf>
    <dxf>
      <font>
        <b/>
        <i val="0"/>
        <color rgb="FFFFFF00"/>
      </font>
      <fill>
        <gradientFill degree="135">
          <stop position="0">
            <color rgb="FFFE5E5E"/>
          </stop>
          <stop position="1">
            <color rgb="FFFF0000"/>
          </stop>
        </gradientFill>
      </fill>
    </dxf>
    <dxf>
      <font>
        <b/>
        <i val="0"/>
        <color theme="4" tint="-0.499984740745262"/>
      </font>
      <fill>
        <gradientFill degree="135">
          <stop position="0">
            <color theme="0"/>
          </stop>
          <stop position="1">
            <color theme="0" tint="-0.1490218817712943"/>
          </stop>
        </gradientFill>
      </fill>
    </dxf>
    <dxf>
      <font>
        <b/>
        <i val="0"/>
        <color theme="1" tint="0.34998626667073579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theme="1"/>
      </font>
      <fill>
        <gradientFill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ont>
        <b/>
        <i val="0"/>
        <color theme="1" tint="4.9989318521683403E-2"/>
      </font>
      <fill>
        <gradientFill>
          <stop position="0">
            <color theme="0"/>
          </stop>
          <stop position="0.5">
            <color theme="2" tint="-0.49803155613879818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180">
          <stop position="0">
            <color rgb="FFFF0000"/>
          </stop>
          <stop position="1">
            <color theme="1"/>
          </stop>
        </gradientFill>
      </fill>
    </dxf>
    <dxf>
      <font>
        <b/>
        <i val="0"/>
        <color theme="0"/>
      </font>
      <fill>
        <gradientFill>
          <stop position="0">
            <color theme="5" tint="-0.49803155613879818"/>
          </stop>
          <stop position="1">
            <color theme="4" tint="0.59999389629810485"/>
          </stop>
        </gradientFill>
      </fill>
    </dxf>
    <dxf>
      <font>
        <b/>
        <i val="0"/>
        <color theme="4" tint="-0.24994659260841701"/>
      </font>
      <fill>
        <gradientFill degree="315">
          <stop position="0">
            <color theme="4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45">
          <stop position="0">
            <color theme="0"/>
          </stop>
          <stop position="0.5">
            <color theme="0" tint="-0.25098422193060094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180">
          <stop position="0">
            <color rgb="FFFFFF00"/>
          </stop>
          <stop position="1">
            <color theme="1"/>
          </stop>
        </gradientFill>
      </fill>
    </dxf>
    <dxf>
      <font>
        <b/>
        <i val="0"/>
        <color theme="0"/>
      </font>
      <fill>
        <gradientFill>
          <stop position="0">
            <color rgb="FFFF0000"/>
          </stop>
          <stop position="0.5">
            <color theme="4"/>
          </stop>
          <stop position="1">
            <color rgb="FFFF0000"/>
          </stop>
        </gradientFill>
      </fill>
    </dxf>
    <dxf>
      <font>
        <b/>
        <i val="0"/>
        <color theme="0" tint="-0.499984740745262"/>
      </font>
      <fill>
        <patternFill>
          <bgColor theme="2"/>
        </patternFill>
      </fill>
    </dxf>
    <dxf>
      <font>
        <b/>
        <i val="0"/>
        <color theme="0"/>
      </font>
      <fill>
        <gradientFill degree="315">
          <stop position="0">
            <color theme="4" tint="-0.49803155613879818"/>
          </stop>
          <stop position="1">
            <color theme="4"/>
          </stop>
        </gradientFill>
      </fill>
    </dxf>
    <dxf>
      <font>
        <b/>
        <i val="0"/>
        <color rgb="FFFFFF00"/>
      </font>
      <fill>
        <gradientFill degree="315">
          <stop position="0">
            <color rgb="FFFF0000"/>
          </stop>
          <stop position="1">
            <color theme="0"/>
          </stop>
        </gradientFill>
      </fill>
    </dxf>
    <dxf>
      <font>
        <b/>
        <i val="0"/>
        <color rgb="FFFFFF00"/>
      </font>
      <fill>
        <gradientFill degree="18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rgb="FFFFC000"/>
      </font>
      <fill>
        <gradientFill degree="315">
          <stop position="0">
            <color theme="5" tint="-0.49803155613879818"/>
          </stop>
          <stop position="1">
            <color theme="5" tint="-0.25098422193060094"/>
          </stop>
        </gradientFill>
      </fill>
    </dxf>
    <dxf>
      <font>
        <b/>
        <i val="0"/>
        <color theme="0"/>
      </font>
      <fill>
        <gradientFill degree="22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degree="27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theme="0"/>
      </font>
      <fill>
        <gradientFill degree="315">
          <stop position="0">
            <color theme="4" tint="0.40000610370189521"/>
          </stop>
          <stop position="1">
            <color theme="4"/>
          </stop>
        </gradientFill>
      </fill>
    </dxf>
    <dxf>
      <font>
        <b/>
        <i val="0"/>
        <color theme="1"/>
      </font>
      <fill>
        <gradientFill>
          <stop position="0">
            <color theme="4"/>
          </stop>
          <stop position="0.5">
            <color theme="0"/>
          </stop>
          <stop position="1">
            <color theme="4"/>
          </stop>
        </gradientFill>
      </fill>
    </dxf>
    <dxf>
      <font>
        <b/>
        <i val="0"/>
        <color rgb="FFFFFF00"/>
      </font>
      <fill>
        <gradientFill degree="135">
          <stop position="0">
            <color rgb="FFFE5E5E"/>
          </stop>
          <stop position="1">
            <color rgb="FFFF0000"/>
          </stop>
        </gradientFill>
      </fill>
    </dxf>
    <dxf>
      <font>
        <b/>
        <i val="0"/>
        <color theme="4" tint="-0.499984740745262"/>
      </font>
      <fill>
        <gradientFill degree="135">
          <stop position="0">
            <color theme="0"/>
          </stop>
          <stop position="1">
            <color theme="0" tint="-0.1490218817712943"/>
          </stop>
        </gradientFill>
      </fill>
    </dxf>
    <dxf>
      <font>
        <b/>
        <i val="0"/>
        <color theme="1" tint="0.34998626667073579"/>
      </font>
      <fill>
        <gradientFill degree="90">
          <stop position="0">
            <color theme="0"/>
          </stop>
          <stop position="1">
            <color theme="4"/>
          </stop>
        </gradientFill>
      </fill>
    </dxf>
    <dxf>
      <font>
        <b/>
        <i val="0"/>
        <color theme="1"/>
      </font>
      <fill>
        <gradientFill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ont>
        <b/>
        <i val="0"/>
        <color theme="1" tint="4.9989318521683403E-2"/>
      </font>
      <fill>
        <gradientFill>
          <stop position="0">
            <color theme="0"/>
          </stop>
          <stop position="0.5">
            <color theme="2" tint="-0.49803155613879818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180">
          <stop position="0">
            <color rgb="FFFF0000"/>
          </stop>
          <stop position="1">
            <color theme="1"/>
          </stop>
        </gradientFill>
      </fill>
    </dxf>
    <dxf>
      <font>
        <b/>
        <i val="0"/>
        <color theme="0"/>
      </font>
      <fill>
        <gradientFill>
          <stop position="0">
            <color theme="5" tint="-0.49803155613879818"/>
          </stop>
          <stop position="1">
            <color theme="4" tint="0.59999389629810485"/>
          </stop>
        </gradientFill>
      </fill>
    </dxf>
    <dxf>
      <font>
        <b/>
        <i val="0"/>
        <color theme="4" tint="-0.24994659260841701"/>
      </font>
      <fill>
        <gradientFill degree="315">
          <stop position="0">
            <color theme="4" tint="0.59999389629810485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 degree="45">
          <stop position="0">
            <color theme="0"/>
          </stop>
          <stop position="0.5">
            <color theme="0" tint="-0.25098422193060094"/>
          </stop>
          <stop position="1">
            <color theme="0"/>
          </stop>
        </gradientFill>
      </fill>
    </dxf>
    <dxf>
      <font>
        <b/>
        <i val="0"/>
        <color theme="1"/>
      </font>
      <fill>
        <gradientFill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i val="0"/>
        <color theme="0"/>
      </font>
      <fill>
        <gradientFill degree="180">
          <stop position="0">
            <color rgb="FFFFFF00"/>
          </stop>
          <stop position="1">
            <color theme="1"/>
          </stop>
        </gradientFill>
      </fill>
    </dxf>
    <dxf>
      <font>
        <b/>
        <i val="0"/>
        <color theme="0"/>
      </font>
      <fill>
        <gradientFill>
          <stop position="0">
            <color rgb="FFFF0000"/>
          </stop>
          <stop position="0.5">
            <color theme="4"/>
          </stop>
          <stop position="1">
            <color rgb="FFFF0000"/>
          </stop>
        </gradientFill>
      </fill>
    </dxf>
  </dxfs>
  <tableStyles count="0" defaultTableStyle="TableStyleMedium2" defaultPivotStyle="PivotStyleLight16"/>
  <colors>
    <mruColors>
      <color rgb="FFFCF600"/>
      <color rgb="FFFE5E5E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434340</xdr:colOff>
          <xdr:row>14</xdr:row>
          <xdr:rowOff>99060</xdr:rowOff>
        </xdr:from>
        <xdr:to>
          <xdr:col>22</xdr:col>
          <xdr:colOff>777240</xdr:colOff>
          <xdr:row>17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fixture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14</xdr:row>
          <xdr:rowOff>144780</xdr:rowOff>
        </xdr:from>
        <xdr:to>
          <xdr:col>18</xdr:col>
          <xdr:colOff>45720</xdr:colOff>
          <xdr:row>17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Matchday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297180</xdr:colOff>
          <xdr:row>15</xdr:row>
          <xdr:rowOff>220980</xdr:rowOff>
        </xdr:from>
        <xdr:to>
          <xdr:col>19</xdr:col>
          <xdr:colOff>312420</xdr:colOff>
          <xdr:row>17</xdr:row>
          <xdr:rowOff>198120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Table</a:t>
              </a:r>
            </a:p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Games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49"/>
  <sheetViews>
    <sheetView tabSelected="1" workbookViewId="0"/>
  </sheetViews>
  <sheetFormatPr defaultRowHeight="14.4" x14ac:dyDescent="0.3"/>
  <cols>
    <col min="1" max="1" width="5.5546875" customWidth="1"/>
    <col min="2" max="2" width="4.5546875" customWidth="1"/>
    <col min="3" max="3" width="22.44140625" customWidth="1"/>
    <col min="4" max="4" width="4.21875" customWidth="1"/>
    <col min="5" max="6" width="3.5546875" customWidth="1"/>
    <col min="7" max="7" width="3.77734375" customWidth="1"/>
    <col min="8" max="8" width="5.88671875" customWidth="1"/>
    <col min="9" max="9" width="16.21875" customWidth="1"/>
    <col min="10" max="10" width="11.21875" customWidth="1"/>
    <col min="11" max="11" width="5.21875" customWidth="1"/>
    <col min="14" max="14" width="8.88671875" customWidth="1"/>
    <col min="15" max="15" width="4" customWidth="1"/>
    <col min="16" max="16" width="3.77734375" customWidth="1"/>
    <col min="17" max="17" width="4" customWidth="1"/>
    <col min="19" max="19" width="16.5546875" customWidth="1"/>
    <col min="20" max="20" width="4.6640625" customWidth="1"/>
    <col min="21" max="21" width="23.21875" customWidth="1"/>
    <col min="22" max="22" width="5.5546875" customWidth="1"/>
    <col min="23" max="23" width="22.88671875" customWidth="1"/>
  </cols>
  <sheetData>
    <row r="1" spans="2:23" ht="15" thickBot="1" x14ac:dyDescent="0.35">
      <c r="J1" s="50" t="s">
        <v>68</v>
      </c>
      <c r="K1" s="29">
        <v>0</v>
      </c>
      <c r="L1" s="11"/>
    </row>
    <row r="2" spans="2:23" ht="18.600000000000001" customHeight="1" x14ac:dyDescent="0.35">
      <c r="B2" s="12" t="s">
        <v>30</v>
      </c>
      <c r="C2" s="12" t="s">
        <v>29</v>
      </c>
      <c r="D2" s="12" t="s">
        <v>67</v>
      </c>
      <c r="E2" s="22" t="s">
        <v>31</v>
      </c>
      <c r="F2" s="22" t="s">
        <v>32</v>
      </c>
      <c r="G2" s="22" t="s">
        <v>33</v>
      </c>
      <c r="H2" s="22" t="s">
        <v>34</v>
      </c>
      <c r="I2" s="22" t="s">
        <v>38</v>
      </c>
      <c r="J2" s="23" t="s">
        <v>28</v>
      </c>
      <c r="U2" s="13" t="s">
        <v>19</v>
      </c>
      <c r="V2" s="14"/>
      <c r="W2" s="15"/>
    </row>
    <row r="3" spans="2:23" ht="18.600000000000001" customHeight="1" thickBot="1" x14ac:dyDescent="0.4">
      <c r="B3" s="24">
        <v>1</v>
      </c>
      <c r="C3" s="30" t="s">
        <v>18</v>
      </c>
      <c r="D3" s="25">
        <f>SUM(E3:G3)</f>
        <v>0</v>
      </c>
      <c r="E3" s="25">
        <f>VLOOKUP(C3,Table!$L$23:$O$42,2,0)</f>
        <v>0</v>
      </c>
      <c r="F3" s="26">
        <f>VLOOKUP(C3,Table!$L$23:$O$42,4,0)</f>
        <v>0</v>
      </c>
      <c r="G3" s="26">
        <f>VLOOKUP(C3,Table!$L$23:$O$42,3,0)</f>
        <v>0</v>
      </c>
      <c r="H3" s="26">
        <f>VLOOKUP(C3,Table!$L$44:$M$63,2,0)</f>
        <v>0</v>
      </c>
      <c r="I3" s="49" t="str">
        <f>IF(VLOOKUP(C3,Table!$A$13:$I$32,9,0)="Yes",CONCATENATE(IF(VLOOKUP(C3,Table!$A$13:$G$32,2,0)="N","",VLOOKUP(C3,Table!$A$13:$G$32,2,0)),IF(VLOOKUP(C3,Table!$A$13:$G$32,3,0)="N","",IF(VLOOKUP(C3,Table!$A$13:$G$32,2,0)="N","","/")),IF(VLOOKUP(C3,Table!$A$13:$G$32,3,0)="N","",VLOOKUP(C3,Table!$A$13:$G$32,3,0)),IF(VLOOKUP(C3,Table!$A$13:$G$32,4,0)="N","","/"),IF(VLOOKUP(C3,Table!$A$13:$G$32,4,0)="N","",VLOOKUP(C3,Table!$A$13:$G$32,4,0)),IF(VLOOKUP(C3,Table!$A$13:$G$32,5,0)="N","","/"),IF(VLOOKUP(C3,Table!$A$13:$G$32,5,0)="N","",VLOOKUP(C3,Table!$A$13:$G$32,5,0)),IF(VLOOKUP(C3,Table!$A$13:$G$32,6,0)="N","","/"),IF(VLOOKUP(C3,Table!$A$13:$G$32,6,0)="N","",VLOOKUP(C3,Table!$A$13:$G$32,6,0)),IF(VLOOKUP(C3,Table!$A$13:$G$32,7,0)="N","","/"),IF(VLOOKUP(C3,Table!$A$13:$G$32,7,0)="N","",(VLOOKUP(C3,Table!$A$13:$G$32,7,0)))),CONCATENATE(VLOOKUP(C3,Table!$A$13:$G$32,3,0),"/",,VLOOKUP(C3,Table!$A$13:$G$32,4,0),"/",,VLOOKUP(C3,Table!$A$13:$G$32,5,0),"/",VLOOKUP(C3,Table!$A$13:$G$32,6,0),"/",VLOOKUP(C3,Table!$A$13:$G$32,7,0)))</f>
        <v>-/-/-/-/-</v>
      </c>
      <c r="J3" s="25">
        <f>VLOOKUP(C3,Table!$L$2:$M$21,2,0)</f>
        <v>0</v>
      </c>
      <c r="U3" s="16" t="s">
        <v>20</v>
      </c>
      <c r="V3" s="17"/>
      <c r="W3" s="18" t="s">
        <v>21</v>
      </c>
    </row>
    <row r="4" spans="2:23" ht="18.600000000000001" customHeight="1" x14ac:dyDescent="0.4">
      <c r="B4" s="27">
        <v>2</v>
      </c>
      <c r="C4" s="30" t="s">
        <v>5</v>
      </c>
      <c r="D4" s="25">
        <f>SUM(E4:G4)</f>
        <v>0</v>
      </c>
      <c r="E4" s="25">
        <f>VLOOKUP(C4,Table!$L$23:$O$42,2,0)</f>
        <v>0</v>
      </c>
      <c r="F4" s="26">
        <f>VLOOKUP(C4,Table!$L$23:$O$42,4,0)</f>
        <v>0</v>
      </c>
      <c r="G4" s="26">
        <f>VLOOKUP(C4,Table!$L$23:$O$42,3,0)</f>
        <v>0</v>
      </c>
      <c r="H4" s="26">
        <f>VLOOKUP(C4,Table!$L$44:$M$63,2,0)</f>
        <v>0</v>
      </c>
      <c r="I4" s="49" t="str">
        <f>IF(VLOOKUP(C4,Table!$A$13:$I$32,9,0)="Yes",CONCATENATE(IF(VLOOKUP(C4,Table!$A$13:$G$32,2,0)="N","",VLOOKUP(C4,Table!$A$13:$G$32,2,0)),IF(VLOOKUP(C4,Table!$A$13:$G$32,3,0)="N","",IF(VLOOKUP(C4,Table!$A$13:$G$32,2,0)="N","","/")),IF(VLOOKUP(C4,Table!$A$13:$G$32,3,0)="N","",VLOOKUP(C4,Table!$A$13:$G$32,3,0)),IF(VLOOKUP(C4,Table!$A$13:$G$32,4,0)="N","","/"),IF(VLOOKUP(C4,Table!$A$13:$G$32,4,0)="N","",VLOOKUP(C4,Table!$A$13:$G$32,4,0)),IF(VLOOKUP(C4,Table!$A$13:$G$32,5,0)="N","","/"),IF(VLOOKUP(C4,Table!$A$13:$G$32,5,0)="N","",VLOOKUP(C4,Table!$A$13:$G$32,5,0)),IF(VLOOKUP(C4,Table!$A$13:$G$32,6,0)="N","","/"),IF(VLOOKUP(C4,Table!$A$13:$G$32,6,0)="N","",VLOOKUP(C4,Table!$A$13:$G$32,6,0)),IF(VLOOKUP(C4,Table!$A$13:$G$32,7,0)="N","","/"),IF(VLOOKUP(C4,Table!$A$13:$G$32,7,0)="N","",(VLOOKUP(C4,Table!$A$13:$G$32,7,0)))),CONCATENATE(VLOOKUP(C4,Table!$A$13:$G$32,3,0),"/",,VLOOKUP(C4,Table!$A$13:$G$32,4,0),"/",,VLOOKUP(C4,Table!$A$13:$G$32,5,0),"/",VLOOKUP(C4,Table!$A$13:$G$32,6,0),"/",VLOOKUP(C4,Table!$A$13:$G$32,7,0)))</f>
        <v>-/-/-/-/-</v>
      </c>
      <c r="J4" s="25">
        <f>VLOOKUP(C4,Table!$L$2:$M$21,2,0)</f>
        <v>0</v>
      </c>
      <c r="L4" s="62" t="str">
        <f>Table!A2</f>
        <v>No Team</v>
      </c>
      <c r="M4" s="63"/>
      <c r="N4" s="63"/>
      <c r="O4" s="2" t="str">
        <f>Table!B2</f>
        <v>-</v>
      </c>
      <c r="P4" s="3" t="s">
        <v>24</v>
      </c>
      <c r="Q4" s="4" t="str">
        <f>Table!D2</f>
        <v>-</v>
      </c>
      <c r="R4" s="64" t="str">
        <f>Table!E2</f>
        <v>No Team</v>
      </c>
      <c r="S4" s="65"/>
      <c r="U4" s="19" t="str">
        <f>VLOOKUP((($K$1+1)*10)+0,Sheet1!$E:$H,2,0)</f>
        <v>Arsenal</v>
      </c>
      <c r="V4" s="20" t="s">
        <v>22</v>
      </c>
      <c r="W4" s="18" t="str">
        <f>VLOOKUP((($K$1+1)*10)+0,Sheet1!$E:$H,4,0)</f>
        <v>Stoke City</v>
      </c>
    </row>
    <row r="5" spans="2:23" ht="18.600000000000001" customHeight="1" x14ac:dyDescent="0.4">
      <c r="B5" s="27">
        <v>3</v>
      </c>
      <c r="C5" s="30" t="s">
        <v>0</v>
      </c>
      <c r="D5" s="25">
        <f>SUM(E5:G5)</f>
        <v>0</v>
      </c>
      <c r="E5" s="25">
        <f>VLOOKUP(C5,Table!$L$23:$O$42,2,0)</f>
        <v>0</v>
      </c>
      <c r="F5" s="26">
        <f>VLOOKUP(C5,Table!$L$23:$O$42,4,0)</f>
        <v>0</v>
      </c>
      <c r="G5" s="26">
        <f>VLOOKUP(C5,Table!$L$23:$O$42,3,0)</f>
        <v>0</v>
      </c>
      <c r="H5" s="26">
        <f>VLOOKUP(C5,Table!$L$44:$M$63,2,0)</f>
        <v>0</v>
      </c>
      <c r="I5" s="49" t="str">
        <f>IF(VLOOKUP(C5,Table!$A$13:$I$32,9,0)="Yes",CONCATENATE(IF(VLOOKUP(C5,Table!$A$13:$G$32,2,0)="N","",VLOOKUP(C5,Table!$A$13:$G$32,2,0)),IF(VLOOKUP(C5,Table!$A$13:$G$32,3,0)="N","",IF(VLOOKUP(C5,Table!$A$13:$G$32,2,0)="N","","/")),IF(VLOOKUP(C5,Table!$A$13:$G$32,3,0)="N","",VLOOKUP(C5,Table!$A$13:$G$32,3,0)),IF(VLOOKUP(C5,Table!$A$13:$G$32,4,0)="N","","/"),IF(VLOOKUP(C5,Table!$A$13:$G$32,4,0)="N","",VLOOKUP(C5,Table!$A$13:$G$32,4,0)),IF(VLOOKUP(C5,Table!$A$13:$G$32,5,0)="N","","/"),IF(VLOOKUP(C5,Table!$A$13:$G$32,5,0)="N","",VLOOKUP(C5,Table!$A$13:$G$32,5,0)),IF(VLOOKUP(C5,Table!$A$13:$G$32,6,0)="N","","/"),IF(VLOOKUP(C5,Table!$A$13:$G$32,6,0)="N","",VLOOKUP(C5,Table!$A$13:$G$32,6,0)),IF(VLOOKUP(C5,Table!$A$13:$G$32,7,0)="N","","/"),IF(VLOOKUP(C5,Table!$A$13:$G$32,7,0)="N","",(VLOOKUP(C5,Table!$A$13:$G$32,7,0)))),CONCATENATE(VLOOKUP(C5,Table!$A$13:$G$32,3,0),"/",,VLOOKUP(C5,Table!$A$13:$G$32,4,0),"/",,VLOOKUP(C5,Table!$A$13:$G$32,5,0),"/",VLOOKUP(C5,Table!$A$13:$G$32,6,0),"/",VLOOKUP(C5,Table!$A$13:$G$32,7,0)))</f>
        <v>-/-/-/-/-</v>
      </c>
      <c r="J5" s="25">
        <f>VLOOKUP(C5,Table!$L$2:$M$21,2,0)</f>
        <v>0</v>
      </c>
      <c r="L5" s="58" t="str">
        <f>Table!A3</f>
        <v>No Team</v>
      </c>
      <c r="M5" s="59"/>
      <c r="N5" s="59"/>
      <c r="O5" s="5" t="str">
        <f>Table!B3</f>
        <v>-</v>
      </c>
      <c r="P5" s="6" t="s">
        <v>24</v>
      </c>
      <c r="Q5" s="7" t="str">
        <f>Table!D3</f>
        <v>-</v>
      </c>
      <c r="R5" s="54" t="str">
        <f>Table!E3</f>
        <v>No Team</v>
      </c>
      <c r="S5" s="55"/>
      <c r="U5" s="19" t="str">
        <f>VLOOKUP((($K$1+1)*10)+1,Sheet1!$E:$H,2,0)</f>
        <v>West Ham United</v>
      </c>
      <c r="V5" s="20" t="s">
        <v>22</v>
      </c>
      <c r="W5" s="18" t="str">
        <f>VLOOKUP((($K$1+1)*10)+1,Sheet1!$E:$H,4,0)</f>
        <v>Southampton</v>
      </c>
    </row>
    <row r="6" spans="2:23" ht="18.600000000000001" customHeight="1" x14ac:dyDescent="0.4">
      <c r="B6" s="27">
        <v>4</v>
      </c>
      <c r="C6" s="30" t="s">
        <v>6</v>
      </c>
      <c r="D6" s="25">
        <f>SUM(E6:G6)</f>
        <v>0</v>
      </c>
      <c r="E6" s="25">
        <f>VLOOKUP(C6,Table!$L$23:$O$42,2,0)</f>
        <v>0</v>
      </c>
      <c r="F6" s="26">
        <f>VLOOKUP(C6,Table!$L$23:$O$42,4,0)</f>
        <v>0</v>
      </c>
      <c r="G6" s="26">
        <f>VLOOKUP(C6,Table!$L$23:$O$42,3,0)</f>
        <v>0</v>
      </c>
      <c r="H6" s="26">
        <f>VLOOKUP(C6,Table!$L$44:$M$63,2,0)</f>
        <v>0</v>
      </c>
      <c r="I6" s="49" t="str">
        <f>IF(VLOOKUP(C6,Table!$A$13:$I$32,9,0)="Yes",CONCATENATE(IF(VLOOKUP(C6,Table!$A$13:$G$32,2,0)="N","",VLOOKUP(C6,Table!$A$13:$G$32,2,0)),IF(VLOOKUP(C6,Table!$A$13:$G$32,3,0)="N","",IF(VLOOKUP(C6,Table!$A$13:$G$32,2,0)="N","","/")),IF(VLOOKUP(C6,Table!$A$13:$G$32,3,0)="N","",VLOOKUP(C6,Table!$A$13:$G$32,3,0)),IF(VLOOKUP(C6,Table!$A$13:$G$32,4,0)="N","","/"),IF(VLOOKUP(C6,Table!$A$13:$G$32,4,0)="N","",VLOOKUP(C6,Table!$A$13:$G$32,4,0)),IF(VLOOKUP(C6,Table!$A$13:$G$32,5,0)="N","","/"),IF(VLOOKUP(C6,Table!$A$13:$G$32,5,0)="N","",VLOOKUP(C6,Table!$A$13:$G$32,5,0)),IF(VLOOKUP(C6,Table!$A$13:$G$32,6,0)="N","","/"),IF(VLOOKUP(C6,Table!$A$13:$G$32,6,0)="N","",VLOOKUP(C6,Table!$A$13:$G$32,6,0)),IF(VLOOKUP(C6,Table!$A$13:$G$32,7,0)="N","","/"),IF(VLOOKUP(C6,Table!$A$13:$G$32,7,0)="N","",(VLOOKUP(C6,Table!$A$13:$G$32,7,0)))),CONCATENATE(VLOOKUP(C6,Table!$A$13:$G$32,3,0),"/",,VLOOKUP(C6,Table!$A$13:$G$32,4,0),"/",,VLOOKUP(C6,Table!$A$13:$G$32,5,0),"/",VLOOKUP(C6,Table!$A$13:$G$32,6,0),"/",VLOOKUP(C6,Table!$A$13:$G$32,7,0)))</f>
        <v>-/-/-/-/-</v>
      </c>
      <c r="J6" s="25">
        <f>VLOOKUP(C6,Table!$L$2:$M$21,2,0)</f>
        <v>0</v>
      </c>
      <c r="L6" s="58" t="str">
        <f>Table!A4</f>
        <v>No Team</v>
      </c>
      <c r="M6" s="59"/>
      <c r="N6" s="59"/>
      <c r="O6" s="5" t="str">
        <f>Table!B4</f>
        <v>-</v>
      </c>
      <c r="P6" s="6" t="s">
        <v>24</v>
      </c>
      <c r="Q6" s="7" t="str">
        <f>Table!D4</f>
        <v>-</v>
      </c>
      <c r="R6" s="54" t="str">
        <f>Table!E4</f>
        <v>No Team</v>
      </c>
      <c r="S6" s="55"/>
      <c r="U6" s="19" t="str">
        <f>VLOOKUP((($K$1+1)*10)+2,Sheet1!$E:$H,2,0)</f>
        <v>Burnley</v>
      </c>
      <c r="V6" s="20" t="s">
        <v>22</v>
      </c>
      <c r="W6" s="18" t="str">
        <f>VLOOKUP((($K$1+1)*10)+2,Sheet1!$E:$H,4,0)</f>
        <v>Newcastle</v>
      </c>
    </row>
    <row r="7" spans="2:23" ht="18.600000000000001" customHeight="1" x14ac:dyDescent="0.4">
      <c r="B7" s="26">
        <v>5</v>
      </c>
      <c r="C7" s="30" t="s">
        <v>4</v>
      </c>
      <c r="D7" s="25">
        <f>SUM(E7:G7)</f>
        <v>0</v>
      </c>
      <c r="E7" s="25">
        <f>VLOOKUP(C7,Table!$L$23:$O$42,2,0)</f>
        <v>0</v>
      </c>
      <c r="F7" s="26">
        <f>VLOOKUP(C7,Table!$L$23:$O$42,4,0)</f>
        <v>0</v>
      </c>
      <c r="G7" s="26">
        <f>VLOOKUP(C7,Table!$L$23:$O$42,3,0)</f>
        <v>0</v>
      </c>
      <c r="H7" s="26">
        <f>VLOOKUP(C7,Table!$L$44:$M$63,2,0)</f>
        <v>0</v>
      </c>
      <c r="I7" s="49" t="str">
        <f>IF(VLOOKUP(C7,Table!$A$13:$I$32,9,0)="Yes",CONCATENATE(IF(VLOOKUP(C7,Table!$A$13:$G$32,2,0)="N","",VLOOKUP(C7,Table!$A$13:$G$32,2,0)),IF(VLOOKUP(C7,Table!$A$13:$G$32,3,0)="N","",IF(VLOOKUP(C7,Table!$A$13:$G$32,2,0)="N","","/")),IF(VLOOKUP(C7,Table!$A$13:$G$32,3,0)="N","",VLOOKUP(C7,Table!$A$13:$G$32,3,0)),IF(VLOOKUP(C7,Table!$A$13:$G$32,4,0)="N","","/"),IF(VLOOKUP(C7,Table!$A$13:$G$32,4,0)="N","",VLOOKUP(C7,Table!$A$13:$G$32,4,0)),IF(VLOOKUP(C7,Table!$A$13:$G$32,5,0)="N","","/"),IF(VLOOKUP(C7,Table!$A$13:$G$32,5,0)="N","",VLOOKUP(C7,Table!$A$13:$G$32,5,0)),IF(VLOOKUP(C7,Table!$A$13:$G$32,6,0)="N","","/"),IF(VLOOKUP(C7,Table!$A$13:$G$32,6,0)="N","",VLOOKUP(C7,Table!$A$13:$G$32,6,0)),IF(VLOOKUP(C7,Table!$A$13:$G$32,7,0)="N","","/"),IF(VLOOKUP(C7,Table!$A$13:$G$32,7,0)="N","",(VLOOKUP(C7,Table!$A$13:$G$32,7,0)))),CONCATENATE(VLOOKUP(C7,Table!$A$13:$G$32,3,0),"/",,VLOOKUP(C7,Table!$A$13:$G$32,4,0),"/",,VLOOKUP(C7,Table!$A$13:$G$32,5,0),"/",VLOOKUP(C7,Table!$A$13:$G$32,6,0),"/",VLOOKUP(C7,Table!$A$13:$G$32,7,0)))</f>
        <v>-/-/-/-/-</v>
      </c>
      <c r="J7" s="25">
        <f>VLOOKUP(C7,Table!$L$2:$M$21,2,0)</f>
        <v>0</v>
      </c>
      <c r="L7" s="58" t="str">
        <f>Table!A5</f>
        <v>No Team</v>
      </c>
      <c r="M7" s="59"/>
      <c r="N7" s="59"/>
      <c r="O7" s="5" t="str">
        <f>Table!B5</f>
        <v>-</v>
      </c>
      <c r="P7" s="6" t="s">
        <v>24</v>
      </c>
      <c r="Q7" s="7" t="str">
        <f>Table!D5</f>
        <v>-</v>
      </c>
      <c r="R7" s="54" t="str">
        <f>Table!E5</f>
        <v>No Team</v>
      </c>
      <c r="S7" s="55"/>
      <c r="U7" s="19" t="str">
        <f>VLOOKUP((($K$1+1)*10)+3,Sheet1!$E:$H,2,0)</f>
        <v>Manchester City</v>
      </c>
      <c r="V7" s="20" t="s">
        <v>22</v>
      </c>
      <c r="W7" s="18" t="str">
        <f>VLOOKUP((($K$1+1)*10)+3,Sheet1!$E:$H,4,0)</f>
        <v>Crystal Palace</v>
      </c>
    </row>
    <row r="8" spans="2:23" ht="18.600000000000001" customHeight="1" x14ac:dyDescent="0.4">
      <c r="B8" s="26">
        <v>6</v>
      </c>
      <c r="C8" s="30" t="s">
        <v>2</v>
      </c>
      <c r="D8" s="25">
        <f>SUM(E8:G8)</f>
        <v>0</v>
      </c>
      <c r="E8" s="25">
        <f>VLOOKUP(C8,Table!$L$23:$O$42,2,0)</f>
        <v>0</v>
      </c>
      <c r="F8" s="26">
        <f>VLOOKUP(C8,Table!$L$23:$O$42,4,0)</f>
        <v>0</v>
      </c>
      <c r="G8" s="26">
        <f>VLOOKUP(C8,Table!$L$23:$O$42,3,0)</f>
        <v>0</v>
      </c>
      <c r="H8" s="26">
        <f>VLOOKUP(C8,Table!$L$44:$M$63,2,0)</f>
        <v>0</v>
      </c>
      <c r="I8" s="49" t="str">
        <f>IF(VLOOKUP(C8,Table!$A$13:$I$32,9,0)="Yes",CONCATENATE(IF(VLOOKUP(C8,Table!$A$13:$G$32,2,0)="N","",VLOOKUP(C8,Table!$A$13:$G$32,2,0)),IF(VLOOKUP(C8,Table!$A$13:$G$32,3,0)="N","",IF(VLOOKUP(C8,Table!$A$13:$G$32,2,0)="N","","/")),IF(VLOOKUP(C8,Table!$A$13:$G$32,3,0)="N","",VLOOKUP(C8,Table!$A$13:$G$32,3,0)),IF(VLOOKUP(C8,Table!$A$13:$G$32,4,0)="N","","/"),IF(VLOOKUP(C8,Table!$A$13:$G$32,4,0)="N","",VLOOKUP(C8,Table!$A$13:$G$32,4,0)),IF(VLOOKUP(C8,Table!$A$13:$G$32,5,0)="N","","/"),IF(VLOOKUP(C8,Table!$A$13:$G$32,5,0)="N","",VLOOKUP(C8,Table!$A$13:$G$32,5,0)),IF(VLOOKUP(C8,Table!$A$13:$G$32,6,0)="N","","/"),IF(VLOOKUP(C8,Table!$A$13:$G$32,6,0)="N","",VLOOKUP(C8,Table!$A$13:$G$32,6,0)),IF(VLOOKUP(C8,Table!$A$13:$G$32,7,0)="N","","/"),IF(VLOOKUP(C8,Table!$A$13:$G$32,7,0)="N","",(VLOOKUP(C8,Table!$A$13:$G$32,7,0)))),CONCATENATE(VLOOKUP(C8,Table!$A$13:$G$32,3,0),"/",,VLOOKUP(C8,Table!$A$13:$G$32,4,0),"/",,VLOOKUP(C8,Table!$A$13:$G$32,5,0),"/",VLOOKUP(C8,Table!$A$13:$G$32,6,0),"/",VLOOKUP(C8,Table!$A$13:$G$32,7,0)))</f>
        <v>-/-/-/-/-</v>
      </c>
      <c r="J8" s="25">
        <f>VLOOKUP(C8,Table!$L$2:$M$21,2,0)</f>
        <v>0</v>
      </c>
      <c r="L8" s="58" t="str">
        <f>Table!A6</f>
        <v>No Team</v>
      </c>
      <c r="M8" s="59"/>
      <c r="N8" s="59"/>
      <c r="O8" s="5" t="str">
        <f>Table!B6</f>
        <v>-</v>
      </c>
      <c r="P8" s="6" t="s">
        <v>24</v>
      </c>
      <c r="Q8" s="7" t="str">
        <f>Table!D6</f>
        <v>-</v>
      </c>
      <c r="R8" s="54" t="str">
        <f>Table!E6</f>
        <v>No Team</v>
      </c>
      <c r="S8" s="55"/>
      <c r="U8" s="19" t="str">
        <f>VLOOKUP((($K$1+1)*10)+4,Sheet1!$E:$H,2,0)</f>
        <v>Brighton</v>
      </c>
      <c r="V8" s="20" t="s">
        <v>22</v>
      </c>
      <c r="W8" s="18" t="str">
        <f>VLOOKUP((($K$1+1)*10)+4,Sheet1!$E:$H,4,0)</f>
        <v>Bournemouth</v>
      </c>
    </row>
    <row r="9" spans="2:23" ht="18.600000000000001" customHeight="1" x14ac:dyDescent="0.4">
      <c r="B9" s="26">
        <v>7</v>
      </c>
      <c r="C9" s="30" t="s">
        <v>1</v>
      </c>
      <c r="D9" s="25">
        <f>SUM(E9:G9)</f>
        <v>0</v>
      </c>
      <c r="E9" s="25">
        <f>VLOOKUP(C9,Table!$L$23:$O$42,2,0)</f>
        <v>0</v>
      </c>
      <c r="F9" s="26">
        <f>VLOOKUP(C9,Table!$L$23:$O$42,4,0)</f>
        <v>0</v>
      </c>
      <c r="G9" s="26">
        <f>VLOOKUP(C9,Table!$L$23:$O$42,3,0)</f>
        <v>0</v>
      </c>
      <c r="H9" s="26">
        <f>VLOOKUP(C9,Table!$L$44:$M$63,2,0)</f>
        <v>0</v>
      </c>
      <c r="I9" s="49" t="str">
        <f>IF(VLOOKUP(C9,Table!$A$13:$I$32,9,0)="Yes",CONCATENATE(IF(VLOOKUP(C9,Table!$A$13:$G$32,2,0)="N","",VLOOKUP(C9,Table!$A$13:$G$32,2,0)),IF(VLOOKUP(C9,Table!$A$13:$G$32,3,0)="N","",IF(VLOOKUP(C9,Table!$A$13:$G$32,2,0)="N","","/")),IF(VLOOKUP(C9,Table!$A$13:$G$32,3,0)="N","",VLOOKUP(C9,Table!$A$13:$G$32,3,0)),IF(VLOOKUP(C9,Table!$A$13:$G$32,4,0)="N","","/"),IF(VLOOKUP(C9,Table!$A$13:$G$32,4,0)="N","",VLOOKUP(C9,Table!$A$13:$G$32,4,0)),IF(VLOOKUP(C9,Table!$A$13:$G$32,5,0)="N","","/"),IF(VLOOKUP(C9,Table!$A$13:$G$32,5,0)="N","",VLOOKUP(C9,Table!$A$13:$G$32,5,0)),IF(VLOOKUP(C9,Table!$A$13:$G$32,6,0)="N","","/"),IF(VLOOKUP(C9,Table!$A$13:$G$32,6,0)="N","",VLOOKUP(C9,Table!$A$13:$G$32,6,0)),IF(VLOOKUP(C9,Table!$A$13:$G$32,7,0)="N","","/"),IF(VLOOKUP(C9,Table!$A$13:$G$32,7,0)="N","",(VLOOKUP(C9,Table!$A$13:$G$32,7,0)))),CONCATENATE(VLOOKUP(C9,Table!$A$13:$G$32,3,0),"/",,VLOOKUP(C9,Table!$A$13:$G$32,4,0),"/",,VLOOKUP(C9,Table!$A$13:$G$32,5,0),"/",VLOOKUP(C9,Table!$A$13:$G$32,6,0),"/",VLOOKUP(C9,Table!$A$13:$G$32,7,0)))</f>
        <v>-/-/-/-/-</v>
      </c>
      <c r="J9" s="25">
        <f>VLOOKUP(C9,Table!$L$2:$M$21,2,0)</f>
        <v>0</v>
      </c>
      <c r="L9" s="58" t="str">
        <f>Table!A7</f>
        <v>No Team</v>
      </c>
      <c r="M9" s="59"/>
      <c r="N9" s="59"/>
      <c r="O9" s="5" t="str">
        <f>Table!B7</f>
        <v>-</v>
      </c>
      <c r="P9" s="6" t="s">
        <v>24</v>
      </c>
      <c r="Q9" s="7" t="str">
        <f>Table!D7</f>
        <v>-</v>
      </c>
      <c r="R9" s="54" t="str">
        <f>Table!E7</f>
        <v>No Team</v>
      </c>
      <c r="S9" s="55"/>
      <c r="U9" s="19" t="str">
        <f>VLOOKUP((($K$1+1)*10)+5,Sheet1!$E:$H,2,0)</f>
        <v>Swansea City</v>
      </c>
      <c r="V9" s="20" t="s">
        <v>22</v>
      </c>
      <c r="W9" s="18" t="str">
        <f>VLOOKUP((($K$1+1)*10)+5,Sheet1!$E:$H,4,0)</f>
        <v>Liverpool</v>
      </c>
    </row>
    <row r="10" spans="2:23" ht="18.600000000000001" customHeight="1" x14ac:dyDescent="0.4">
      <c r="B10" s="26">
        <v>8</v>
      </c>
      <c r="C10" s="30" t="s">
        <v>3</v>
      </c>
      <c r="D10" s="25">
        <f>SUM(E10:G10)</f>
        <v>0</v>
      </c>
      <c r="E10" s="25">
        <f>VLOOKUP(C10,Table!$L$23:$O$42,2,0)</f>
        <v>0</v>
      </c>
      <c r="F10" s="26">
        <f>VLOOKUP(C10,Table!$L$23:$O$42,4,0)</f>
        <v>0</v>
      </c>
      <c r="G10" s="26">
        <f>VLOOKUP(C10,Table!$L$23:$O$42,3,0)</f>
        <v>0</v>
      </c>
      <c r="H10" s="26">
        <f>VLOOKUP(C10,Table!$L$44:$M$63,2,0)</f>
        <v>0</v>
      </c>
      <c r="I10" s="49" t="str">
        <f>IF(VLOOKUP(C10,Table!$A$13:$I$32,9,0)="Yes",CONCATENATE(IF(VLOOKUP(C10,Table!$A$13:$G$32,2,0)="N","",VLOOKUP(C10,Table!$A$13:$G$32,2,0)),IF(VLOOKUP(C10,Table!$A$13:$G$32,3,0)="N","",IF(VLOOKUP(C10,Table!$A$13:$G$32,2,0)="N","","/")),IF(VLOOKUP(C10,Table!$A$13:$G$32,3,0)="N","",VLOOKUP(C10,Table!$A$13:$G$32,3,0)),IF(VLOOKUP(C10,Table!$A$13:$G$32,4,0)="N","","/"),IF(VLOOKUP(C10,Table!$A$13:$G$32,4,0)="N","",VLOOKUP(C10,Table!$A$13:$G$32,4,0)),IF(VLOOKUP(C10,Table!$A$13:$G$32,5,0)="N","","/"),IF(VLOOKUP(C10,Table!$A$13:$G$32,5,0)="N","",VLOOKUP(C10,Table!$A$13:$G$32,5,0)),IF(VLOOKUP(C10,Table!$A$13:$G$32,6,0)="N","","/"),IF(VLOOKUP(C10,Table!$A$13:$G$32,6,0)="N","",VLOOKUP(C10,Table!$A$13:$G$32,6,0)),IF(VLOOKUP(C10,Table!$A$13:$G$32,7,0)="N","","/"),IF(VLOOKUP(C10,Table!$A$13:$G$32,7,0)="N","",(VLOOKUP(C10,Table!$A$13:$G$32,7,0)))),CONCATENATE(VLOOKUP(C10,Table!$A$13:$G$32,3,0),"/",,VLOOKUP(C10,Table!$A$13:$G$32,4,0),"/",,VLOOKUP(C10,Table!$A$13:$G$32,5,0),"/",VLOOKUP(C10,Table!$A$13:$G$32,6,0),"/",VLOOKUP(C10,Table!$A$13:$G$32,7,0)))</f>
        <v>-/-/-/-/-</v>
      </c>
      <c r="J10" s="25">
        <f>VLOOKUP(C10,Table!$L$2:$M$21,2,0)</f>
        <v>0</v>
      </c>
      <c r="L10" s="58" t="str">
        <f>Table!A8</f>
        <v>No Team</v>
      </c>
      <c r="M10" s="59"/>
      <c r="N10" s="59"/>
      <c r="O10" s="5" t="str">
        <f>Table!B8</f>
        <v>-</v>
      </c>
      <c r="P10" s="6" t="s">
        <v>24</v>
      </c>
      <c r="Q10" s="7" t="str">
        <f>Table!D8</f>
        <v>-</v>
      </c>
      <c r="R10" s="54" t="str">
        <f>Table!E8</f>
        <v>No Team</v>
      </c>
      <c r="S10" s="55"/>
      <c r="U10" s="19" t="str">
        <f>VLOOKUP((($K$1+1)*10)+6,Sheet1!$E:$H,2,0)</f>
        <v>Chelsea</v>
      </c>
      <c r="V10" s="20" t="s">
        <v>22</v>
      </c>
      <c r="W10" s="18" t="str">
        <f>VLOOKUP((($K$1+1)*10)+6,Sheet1!$E:$H,4,0)</f>
        <v>Watford</v>
      </c>
    </row>
    <row r="11" spans="2:23" ht="18.600000000000001" customHeight="1" x14ac:dyDescent="0.4">
      <c r="B11" s="26">
        <v>9</v>
      </c>
      <c r="C11" s="30" t="s">
        <v>15</v>
      </c>
      <c r="D11" s="25">
        <f>SUM(E11:G11)</f>
        <v>0</v>
      </c>
      <c r="E11" s="25">
        <f>VLOOKUP(C11,Table!$L$23:$O$42,2,0)</f>
        <v>0</v>
      </c>
      <c r="F11" s="26">
        <f>VLOOKUP(C11,Table!$L$23:$O$42,4,0)</f>
        <v>0</v>
      </c>
      <c r="G11" s="26">
        <f>VLOOKUP(C11,Table!$L$23:$O$42,3,0)</f>
        <v>0</v>
      </c>
      <c r="H11" s="26">
        <f>VLOOKUP(C11,Table!$L$44:$M$63,2,0)</f>
        <v>0</v>
      </c>
      <c r="I11" s="49" t="str">
        <f>IF(VLOOKUP(C11,Table!$A$13:$I$32,9,0)="Yes",CONCATENATE(IF(VLOOKUP(C11,Table!$A$13:$G$32,2,0)="N","",VLOOKUP(C11,Table!$A$13:$G$32,2,0)),IF(VLOOKUP(C11,Table!$A$13:$G$32,3,0)="N","",IF(VLOOKUP(C11,Table!$A$13:$G$32,2,0)="N","","/")),IF(VLOOKUP(C11,Table!$A$13:$G$32,3,0)="N","",VLOOKUP(C11,Table!$A$13:$G$32,3,0)),IF(VLOOKUP(C11,Table!$A$13:$G$32,4,0)="N","","/"),IF(VLOOKUP(C11,Table!$A$13:$G$32,4,0)="N","",VLOOKUP(C11,Table!$A$13:$G$32,4,0)),IF(VLOOKUP(C11,Table!$A$13:$G$32,5,0)="N","","/"),IF(VLOOKUP(C11,Table!$A$13:$G$32,5,0)="N","",VLOOKUP(C11,Table!$A$13:$G$32,5,0)),IF(VLOOKUP(C11,Table!$A$13:$G$32,6,0)="N","","/"),IF(VLOOKUP(C11,Table!$A$13:$G$32,6,0)="N","",VLOOKUP(C11,Table!$A$13:$G$32,6,0)),IF(VLOOKUP(C11,Table!$A$13:$G$32,7,0)="N","","/"),IF(VLOOKUP(C11,Table!$A$13:$G$32,7,0)="N","",(VLOOKUP(C11,Table!$A$13:$G$32,7,0)))),CONCATENATE(VLOOKUP(C11,Table!$A$13:$G$32,3,0),"/",,VLOOKUP(C11,Table!$A$13:$G$32,4,0),"/",,VLOOKUP(C11,Table!$A$13:$G$32,5,0),"/",VLOOKUP(C11,Table!$A$13:$G$32,6,0),"/",VLOOKUP(C11,Table!$A$13:$G$32,7,0)))</f>
        <v>-/-/-/-/-</v>
      </c>
      <c r="J11" s="25">
        <f>VLOOKUP(C11,Table!$L$2:$M$21,2,0)</f>
        <v>0</v>
      </c>
      <c r="L11" s="58" t="str">
        <f>Table!A9</f>
        <v>No Team</v>
      </c>
      <c r="M11" s="59"/>
      <c r="N11" s="59"/>
      <c r="O11" s="5" t="str">
        <f>Table!B9</f>
        <v>-</v>
      </c>
      <c r="P11" s="6" t="s">
        <v>24</v>
      </c>
      <c r="Q11" s="7" t="str">
        <f>Table!D9</f>
        <v>-</v>
      </c>
      <c r="R11" s="54" t="str">
        <f>Table!E9</f>
        <v>No Team</v>
      </c>
      <c r="S11" s="55"/>
      <c r="U11" s="19" t="str">
        <f>VLOOKUP((($K$1+1)*10)+7,Sheet1!$E:$H,2,0)</f>
        <v>Everton</v>
      </c>
      <c r="V11" s="20" t="s">
        <v>22</v>
      </c>
      <c r="W11" s="18" t="str">
        <f>VLOOKUP((($K$1+1)*10)+7,Sheet1!$E:$H,4,0)</f>
        <v>Huddersfield</v>
      </c>
    </row>
    <row r="12" spans="2:23" ht="18.600000000000001" customHeight="1" x14ac:dyDescent="0.4">
      <c r="B12" s="26">
        <v>10</v>
      </c>
      <c r="C12" s="30" t="s">
        <v>16</v>
      </c>
      <c r="D12" s="25">
        <f>SUM(E12:G12)</f>
        <v>0</v>
      </c>
      <c r="E12" s="25">
        <f>VLOOKUP(C12,Table!$L$23:$O$42,2,0)</f>
        <v>0</v>
      </c>
      <c r="F12" s="26">
        <f>VLOOKUP(C12,Table!$L$23:$O$42,4,0)</f>
        <v>0</v>
      </c>
      <c r="G12" s="26">
        <f>VLOOKUP(C12,Table!$L$23:$O$42,3,0)</f>
        <v>0</v>
      </c>
      <c r="H12" s="26">
        <f>VLOOKUP(C12,Table!$L$44:$M$63,2,0)</f>
        <v>0</v>
      </c>
      <c r="I12" s="49" t="str">
        <f>IF(VLOOKUP(C12,Table!$A$13:$I$32,9,0)="Yes",CONCATENATE(IF(VLOOKUP(C12,Table!$A$13:$G$32,2,0)="N","",VLOOKUP(C12,Table!$A$13:$G$32,2,0)),IF(VLOOKUP(C12,Table!$A$13:$G$32,3,0)="N","",IF(VLOOKUP(C12,Table!$A$13:$G$32,2,0)="N","","/")),IF(VLOOKUP(C12,Table!$A$13:$G$32,3,0)="N","",VLOOKUP(C12,Table!$A$13:$G$32,3,0)),IF(VLOOKUP(C12,Table!$A$13:$G$32,4,0)="N","","/"),IF(VLOOKUP(C12,Table!$A$13:$G$32,4,0)="N","",VLOOKUP(C12,Table!$A$13:$G$32,4,0)),IF(VLOOKUP(C12,Table!$A$13:$G$32,5,0)="N","","/"),IF(VLOOKUP(C12,Table!$A$13:$G$32,5,0)="N","",VLOOKUP(C12,Table!$A$13:$G$32,5,0)),IF(VLOOKUP(C12,Table!$A$13:$G$32,6,0)="N","","/"),IF(VLOOKUP(C12,Table!$A$13:$G$32,6,0)="N","",VLOOKUP(C12,Table!$A$13:$G$32,6,0)),IF(VLOOKUP(C12,Table!$A$13:$G$32,7,0)="N","","/"),IF(VLOOKUP(C12,Table!$A$13:$G$32,7,0)="N","",(VLOOKUP(C12,Table!$A$13:$G$32,7,0)))),CONCATENATE(VLOOKUP(C12,Table!$A$13:$G$32,3,0),"/",,VLOOKUP(C12,Table!$A$13:$G$32,4,0),"/",,VLOOKUP(C12,Table!$A$13:$G$32,5,0),"/",VLOOKUP(C12,Table!$A$13:$G$32,6,0),"/",VLOOKUP(C12,Table!$A$13:$G$32,7,0)))</f>
        <v>-/-/-/-/-</v>
      </c>
      <c r="J12" s="25">
        <f>VLOOKUP(C12,Table!$L$2:$M$21,2,0)</f>
        <v>0</v>
      </c>
      <c r="L12" s="58" t="str">
        <f>Table!A10</f>
        <v>No Team</v>
      </c>
      <c r="M12" s="59"/>
      <c r="N12" s="59"/>
      <c r="O12" s="5" t="str">
        <f>Table!B10</f>
        <v>-</v>
      </c>
      <c r="P12" s="6" t="s">
        <v>24</v>
      </c>
      <c r="Q12" s="7" t="str">
        <f>Table!D10</f>
        <v>-</v>
      </c>
      <c r="R12" s="54" t="str">
        <f>Table!E10</f>
        <v>No Team</v>
      </c>
      <c r="S12" s="55"/>
      <c r="U12" s="19" t="str">
        <f>VLOOKUP((($K$1+1)*10)+8,Sheet1!$E:$H,2,0)</f>
        <v>Leicester City</v>
      </c>
      <c r="V12" s="20" t="s">
        <v>22</v>
      </c>
      <c r="W12" s="18" t="str">
        <f>VLOOKUP((($K$1+1)*10)+8,Sheet1!$E:$H,4,0)</f>
        <v>Manchester United</v>
      </c>
    </row>
    <row r="13" spans="2:23" ht="18.600000000000001" customHeight="1" thickBot="1" x14ac:dyDescent="0.45">
      <c r="B13" s="26">
        <v>11</v>
      </c>
      <c r="C13" s="30" t="s">
        <v>11</v>
      </c>
      <c r="D13" s="25">
        <f>SUM(E13:G13)</f>
        <v>0</v>
      </c>
      <c r="E13" s="25">
        <f>VLOOKUP(C13,Table!$L$23:$O$42,2,0)</f>
        <v>0</v>
      </c>
      <c r="F13" s="26">
        <f>VLOOKUP(C13,Table!$L$23:$O$42,4,0)</f>
        <v>0</v>
      </c>
      <c r="G13" s="26">
        <f>VLOOKUP(C13,Table!$L$23:$O$42,3,0)</f>
        <v>0</v>
      </c>
      <c r="H13" s="26">
        <f>VLOOKUP(C13,Table!$L$44:$M$63,2,0)</f>
        <v>0</v>
      </c>
      <c r="I13" s="49" t="str">
        <f>IF(VLOOKUP(C13,Table!$A$13:$I$32,9,0)="Yes",CONCATENATE(IF(VLOOKUP(C13,Table!$A$13:$G$32,2,0)="N","",VLOOKUP(C13,Table!$A$13:$G$32,2,0)),IF(VLOOKUP(C13,Table!$A$13:$G$32,3,0)="N","",IF(VLOOKUP(C13,Table!$A$13:$G$32,2,0)="N","","/")),IF(VLOOKUP(C13,Table!$A$13:$G$32,3,0)="N","",VLOOKUP(C13,Table!$A$13:$G$32,3,0)),IF(VLOOKUP(C13,Table!$A$13:$G$32,4,0)="N","","/"),IF(VLOOKUP(C13,Table!$A$13:$G$32,4,0)="N","",VLOOKUP(C13,Table!$A$13:$G$32,4,0)),IF(VLOOKUP(C13,Table!$A$13:$G$32,5,0)="N","","/"),IF(VLOOKUP(C13,Table!$A$13:$G$32,5,0)="N","",VLOOKUP(C13,Table!$A$13:$G$32,5,0)),IF(VLOOKUP(C13,Table!$A$13:$G$32,6,0)="N","","/"),IF(VLOOKUP(C13,Table!$A$13:$G$32,6,0)="N","",VLOOKUP(C13,Table!$A$13:$G$32,6,0)),IF(VLOOKUP(C13,Table!$A$13:$G$32,7,0)="N","","/"),IF(VLOOKUP(C13,Table!$A$13:$G$32,7,0)="N","",(VLOOKUP(C13,Table!$A$13:$G$32,7,0)))),CONCATENATE(VLOOKUP(C13,Table!$A$13:$G$32,3,0),"/",,VLOOKUP(C13,Table!$A$13:$G$32,4,0),"/",,VLOOKUP(C13,Table!$A$13:$G$32,5,0),"/",VLOOKUP(C13,Table!$A$13:$G$32,6,0),"/",VLOOKUP(C13,Table!$A$13:$G$32,7,0)))</f>
        <v>-/-/-/-/-</v>
      </c>
      <c r="J13" s="25">
        <f>VLOOKUP(C13,Table!$L$2:$M$21,2,0)</f>
        <v>0</v>
      </c>
      <c r="L13" s="60" t="str">
        <f>Table!A11</f>
        <v>No Team</v>
      </c>
      <c r="M13" s="61"/>
      <c r="N13" s="61"/>
      <c r="O13" s="8" t="str">
        <f>Table!B11</f>
        <v>-</v>
      </c>
      <c r="P13" s="9" t="s">
        <v>24</v>
      </c>
      <c r="Q13" s="10" t="str">
        <f>Table!D11</f>
        <v>-</v>
      </c>
      <c r="R13" s="56" t="str">
        <f>Table!E11</f>
        <v>No Team</v>
      </c>
      <c r="S13" s="57"/>
      <c r="U13" s="51" t="str">
        <f>VLOOKUP((($K$1+1)*10)+9,Sheet1!$E:$H,2,0)</f>
        <v>West Bromwich</v>
      </c>
      <c r="V13" s="21" t="s">
        <v>22</v>
      </c>
      <c r="W13" s="52" t="str">
        <f>VLOOKUP((($K$1+1)*10)+9,Sheet1!$E:$H,4,0)</f>
        <v>Tottenham Hotspur</v>
      </c>
    </row>
    <row r="14" spans="2:23" ht="18.600000000000001" customHeight="1" x14ac:dyDescent="0.35">
      <c r="B14" s="26">
        <v>12</v>
      </c>
      <c r="C14" s="30" t="s">
        <v>9</v>
      </c>
      <c r="D14" s="25">
        <f>SUM(E14:G14)</f>
        <v>0</v>
      </c>
      <c r="E14" s="25">
        <f>VLOOKUP(C14,Table!$L$23:$O$42,2,0)</f>
        <v>0</v>
      </c>
      <c r="F14" s="26">
        <f>VLOOKUP(C14,Table!$L$23:$O$42,4,0)</f>
        <v>0</v>
      </c>
      <c r="G14" s="26">
        <f>VLOOKUP(C14,Table!$L$23:$O$42,3,0)</f>
        <v>0</v>
      </c>
      <c r="H14" s="26">
        <f>VLOOKUP(C14,Table!$L$44:$M$63,2,0)</f>
        <v>0</v>
      </c>
      <c r="I14" s="49" t="str">
        <f>IF(VLOOKUP(C14,Table!$A$13:$I$32,9,0)="Yes",CONCATENATE(IF(VLOOKUP(C14,Table!$A$13:$G$32,2,0)="N","",VLOOKUP(C14,Table!$A$13:$G$32,2,0)),IF(VLOOKUP(C14,Table!$A$13:$G$32,3,0)="N","",IF(VLOOKUP(C14,Table!$A$13:$G$32,2,0)="N","","/")),IF(VLOOKUP(C14,Table!$A$13:$G$32,3,0)="N","",VLOOKUP(C14,Table!$A$13:$G$32,3,0)),IF(VLOOKUP(C14,Table!$A$13:$G$32,4,0)="N","","/"),IF(VLOOKUP(C14,Table!$A$13:$G$32,4,0)="N","",VLOOKUP(C14,Table!$A$13:$G$32,4,0)),IF(VLOOKUP(C14,Table!$A$13:$G$32,5,0)="N","","/"),IF(VLOOKUP(C14,Table!$A$13:$G$32,5,0)="N","",VLOOKUP(C14,Table!$A$13:$G$32,5,0)),IF(VLOOKUP(C14,Table!$A$13:$G$32,6,0)="N","","/"),IF(VLOOKUP(C14,Table!$A$13:$G$32,6,0)="N","",VLOOKUP(C14,Table!$A$13:$G$32,6,0)),IF(VLOOKUP(C14,Table!$A$13:$G$32,7,0)="N","","/"),IF(VLOOKUP(C14,Table!$A$13:$G$32,7,0)="N","",(VLOOKUP(C14,Table!$A$13:$G$32,7,0)))),CONCATENATE(VLOOKUP(C14,Table!$A$13:$G$32,3,0),"/",,VLOOKUP(C14,Table!$A$13:$G$32,4,0),"/",,VLOOKUP(C14,Table!$A$13:$G$32,5,0),"/",VLOOKUP(C14,Table!$A$13:$G$32,6,0),"/",VLOOKUP(C14,Table!$A$13:$G$32,7,0)))</f>
        <v>-/-/-/-/-</v>
      </c>
      <c r="J14" s="25">
        <f>VLOOKUP(C14,Table!$L$2:$M$21,2,0)</f>
        <v>0</v>
      </c>
    </row>
    <row r="15" spans="2:23" ht="18.600000000000001" customHeight="1" x14ac:dyDescent="0.35">
      <c r="B15" s="26">
        <v>13</v>
      </c>
      <c r="C15" s="30" t="s">
        <v>10</v>
      </c>
      <c r="D15" s="25">
        <f>SUM(E15:G15)</f>
        <v>0</v>
      </c>
      <c r="E15" s="25">
        <f>VLOOKUP(C15,Table!$L$23:$O$42,2,0)</f>
        <v>0</v>
      </c>
      <c r="F15" s="26">
        <f>VLOOKUP(C15,Table!$L$23:$O$42,4,0)</f>
        <v>0</v>
      </c>
      <c r="G15" s="26">
        <f>VLOOKUP(C15,Table!$L$23:$O$42,3,0)</f>
        <v>0</v>
      </c>
      <c r="H15" s="26">
        <f>VLOOKUP(C15,Table!$L$44:$M$63,2,0)</f>
        <v>0</v>
      </c>
      <c r="I15" s="49" t="str">
        <f>IF(VLOOKUP(C15,Table!$A$13:$I$32,9,0)="Yes",CONCATENATE(IF(VLOOKUP(C15,Table!$A$13:$G$32,2,0)="N","",VLOOKUP(C15,Table!$A$13:$G$32,2,0)),IF(VLOOKUP(C15,Table!$A$13:$G$32,3,0)="N","",IF(VLOOKUP(C15,Table!$A$13:$G$32,2,0)="N","","/")),IF(VLOOKUP(C15,Table!$A$13:$G$32,3,0)="N","",VLOOKUP(C15,Table!$A$13:$G$32,3,0)),IF(VLOOKUP(C15,Table!$A$13:$G$32,4,0)="N","","/"),IF(VLOOKUP(C15,Table!$A$13:$G$32,4,0)="N","",VLOOKUP(C15,Table!$A$13:$G$32,4,0)),IF(VLOOKUP(C15,Table!$A$13:$G$32,5,0)="N","","/"),IF(VLOOKUP(C15,Table!$A$13:$G$32,5,0)="N","",VLOOKUP(C15,Table!$A$13:$G$32,5,0)),IF(VLOOKUP(C15,Table!$A$13:$G$32,6,0)="N","","/"),IF(VLOOKUP(C15,Table!$A$13:$G$32,6,0)="N","",VLOOKUP(C15,Table!$A$13:$G$32,6,0)),IF(VLOOKUP(C15,Table!$A$13:$G$32,7,0)="N","","/"),IF(VLOOKUP(C15,Table!$A$13:$G$32,7,0)="N","",(VLOOKUP(C15,Table!$A$13:$G$32,7,0)))),CONCATENATE(VLOOKUP(C15,Table!$A$13:$G$32,3,0),"/",,VLOOKUP(C15,Table!$A$13:$G$32,4,0),"/",,VLOOKUP(C15,Table!$A$13:$G$32,5,0),"/",VLOOKUP(C15,Table!$A$13:$G$32,6,0),"/",VLOOKUP(C15,Table!$A$13:$G$32,7,0)))</f>
        <v>-/-/-/-/-</v>
      </c>
      <c r="J15" s="25">
        <f>VLOOKUP(C15,Table!$L$2:$M$21,2,0)</f>
        <v>0</v>
      </c>
    </row>
    <row r="16" spans="2:23" ht="18.600000000000001" customHeight="1" x14ac:dyDescent="0.35">
      <c r="B16" s="26">
        <v>14</v>
      </c>
      <c r="C16" s="30" t="s">
        <v>23</v>
      </c>
      <c r="D16" s="25">
        <f>SUM(E16:G16)</f>
        <v>0</v>
      </c>
      <c r="E16" s="25">
        <f>VLOOKUP(C16,Table!$L$23:$O$42,2,0)</f>
        <v>0</v>
      </c>
      <c r="F16" s="26">
        <f>VLOOKUP(C16,Table!$L$23:$O$42,4,0)</f>
        <v>0</v>
      </c>
      <c r="G16" s="26">
        <f>VLOOKUP(C16,Table!$L$23:$O$42,3,0)</f>
        <v>0</v>
      </c>
      <c r="H16" s="26">
        <f>VLOOKUP(C16,Table!$L$44:$M$63,2,0)</f>
        <v>0</v>
      </c>
      <c r="I16" s="49" t="str">
        <f>IF(VLOOKUP(C16,Table!$A$13:$I$32,9,0)="Yes",CONCATENATE(IF(VLOOKUP(C16,Table!$A$13:$G$32,2,0)="N","",VLOOKUP(C16,Table!$A$13:$G$32,2,0)),IF(VLOOKUP(C16,Table!$A$13:$G$32,3,0)="N","",IF(VLOOKUP(C16,Table!$A$13:$G$32,2,0)="N","","/")),IF(VLOOKUP(C16,Table!$A$13:$G$32,3,0)="N","",VLOOKUP(C16,Table!$A$13:$G$32,3,0)),IF(VLOOKUP(C16,Table!$A$13:$G$32,4,0)="N","","/"),IF(VLOOKUP(C16,Table!$A$13:$G$32,4,0)="N","",VLOOKUP(C16,Table!$A$13:$G$32,4,0)),IF(VLOOKUP(C16,Table!$A$13:$G$32,5,0)="N","","/"),IF(VLOOKUP(C16,Table!$A$13:$G$32,5,0)="N","",VLOOKUP(C16,Table!$A$13:$G$32,5,0)),IF(VLOOKUP(C16,Table!$A$13:$G$32,6,0)="N","","/"),IF(VLOOKUP(C16,Table!$A$13:$G$32,6,0)="N","",VLOOKUP(C16,Table!$A$13:$G$32,6,0)),IF(VLOOKUP(C16,Table!$A$13:$G$32,7,0)="N","","/"),IF(VLOOKUP(C16,Table!$A$13:$G$32,7,0)="N","",(VLOOKUP(C16,Table!$A$13:$G$32,7,0)))),CONCATENATE(VLOOKUP(C16,Table!$A$13:$G$32,3,0),"/",,VLOOKUP(C16,Table!$A$13:$G$32,4,0),"/",,VLOOKUP(C16,Table!$A$13:$G$32,5,0),"/",VLOOKUP(C16,Table!$A$13:$G$32,6,0),"/",VLOOKUP(C16,Table!$A$13:$G$32,7,0)))</f>
        <v>-/-/-/-/-</v>
      </c>
      <c r="J16" s="25">
        <f>VLOOKUP(C16,Table!$L$2:$M$21,2,0)</f>
        <v>0</v>
      </c>
    </row>
    <row r="17" spans="2:10" ht="18.600000000000001" customHeight="1" x14ac:dyDescent="0.35">
      <c r="B17" s="26">
        <v>15</v>
      </c>
      <c r="C17" s="30" t="s">
        <v>14</v>
      </c>
      <c r="D17" s="25">
        <f>SUM(E17:G17)</f>
        <v>0</v>
      </c>
      <c r="E17" s="25">
        <f>VLOOKUP(C17,Table!$L$23:$O$42,2,0)</f>
        <v>0</v>
      </c>
      <c r="F17" s="26">
        <f>VLOOKUP(C17,Table!$L$23:$O$42,4,0)</f>
        <v>0</v>
      </c>
      <c r="G17" s="26">
        <f>VLOOKUP(C17,Table!$L$23:$O$42,3,0)</f>
        <v>0</v>
      </c>
      <c r="H17" s="26">
        <f>VLOOKUP(C17,Table!$L$44:$M$63,2,0)</f>
        <v>0</v>
      </c>
      <c r="I17" s="49" t="str">
        <f>IF(VLOOKUP(C17,Table!$A$13:$I$32,9,0)="Yes",CONCATENATE(IF(VLOOKUP(C17,Table!$A$13:$G$32,2,0)="N","",VLOOKUP(C17,Table!$A$13:$G$32,2,0)),IF(VLOOKUP(C17,Table!$A$13:$G$32,3,0)="N","",IF(VLOOKUP(C17,Table!$A$13:$G$32,2,0)="N","","/")),IF(VLOOKUP(C17,Table!$A$13:$G$32,3,0)="N","",VLOOKUP(C17,Table!$A$13:$G$32,3,0)),IF(VLOOKUP(C17,Table!$A$13:$G$32,4,0)="N","","/"),IF(VLOOKUP(C17,Table!$A$13:$G$32,4,0)="N","",VLOOKUP(C17,Table!$A$13:$G$32,4,0)),IF(VLOOKUP(C17,Table!$A$13:$G$32,5,0)="N","","/"),IF(VLOOKUP(C17,Table!$A$13:$G$32,5,0)="N","",VLOOKUP(C17,Table!$A$13:$G$32,5,0)),IF(VLOOKUP(C17,Table!$A$13:$G$32,6,0)="N","","/"),IF(VLOOKUP(C17,Table!$A$13:$G$32,6,0)="N","",VLOOKUP(C17,Table!$A$13:$G$32,6,0)),IF(VLOOKUP(C17,Table!$A$13:$G$32,7,0)="N","","/"),IF(VLOOKUP(C17,Table!$A$13:$G$32,7,0)="N","",(VLOOKUP(C17,Table!$A$13:$G$32,7,0)))),CONCATENATE(VLOOKUP(C17,Table!$A$13:$G$32,3,0),"/",,VLOOKUP(C17,Table!$A$13:$G$32,4,0),"/",,VLOOKUP(C17,Table!$A$13:$G$32,5,0),"/",VLOOKUP(C17,Table!$A$13:$G$32,6,0),"/",VLOOKUP(C17,Table!$A$13:$G$32,7,0)))</f>
        <v>-/-/-/-/-</v>
      </c>
      <c r="J17" s="25">
        <f>VLOOKUP(C17,Table!$L$2:$M$21,2,0)</f>
        <v>0</v>
      </c>
    </row>
    <row r="18" spans="2:10" ht="18.600000000000001" customHeight="1" x14ac:dyDescent="0.35">
      <c r="B18" s="26">
        <v>16</v>
      </c>
      <c r="C18" s="30" t="s">
        <v>12</v>
      </c>
      <c r="D18" s="25">
        <f>SUM(E18:G18)</f>
        <v>0</v>
      </c>
      <c r="E18" s="25">
        <f>VLOOKUP(C18,Table!$L$23:$O$42,2,0)</f>
        <v>0</v>
      </c>
      <c r="F18" s="26">
        <f>VLOOKUP(C18,Table!$L$23:$O$42,4,0)</f>
        <v>0</v>
      </c>
      <c r="G18" s="26">
        <f>VLOOKUP(C18,Table!$L$23:$O$42,3,0)</f>
        <v>0</v>
      </c>
      <c r="H18" s="26">
        <f>VLOOKUP(C18,Table!$L$44:$M$63,2,0)</f>
        <v>0</v>
      </c>
      <c r="I18" s="49" t="str">
        <f>IF(VLOOKUP(C18,Table!$A$13:$I$32,9,0)="Yes",CONCATENATE(IF(VLOOKUP(C18,Table!$A$13:$G$32,2,0)="N","",VLOOKUP(C18,Table!$A$13:$G$32,2,0)),IF(VLOOKUP(C18,Table!$A$13:$G$32,3,0)="N","",IF(VLOOKUP(C18,Table!$A$13:$G$32,2,0)="N","","/")),IF(VLOOKUP(C18,Table!$A$13:$G$32,3,0)="N","",VLOOKUP(C18,Table!$A$13:$G$32,3,0)),IF(VLOOKUP(C18,Table!$A$13:$G$32,4,0)="N","","/"),IF(VLOOKUP(C18,Table!$A$13:$G$32,4,0)="N","",VLOOKUP(C18,Table!$A$13:$G$32,4,0)),IF(VLOOKUP(C18,Table!$A$13:$G$32,5,0)="N","","/"),IF(VLOOKUP(C18,Table!$A$13:$G$32,5,0)="N","",VLOOKUP(C18,Table!$A$13:$G$32,5,0)),IF(VLOOKUP(C18,Table!$A$13:$G$32,6,0)="N","","/"),IF(VLOOKUP(C18,Table!$A$13:$G$32,6,0)="N","",VLOOKUP(C18,Table!$A$13:$G$32,6,0)),IF(VLOOKUP(C18,Table!$A$13:$G$32,7,0)="N","","/"),IF(VLOOKUP(C18,Table!$A$13:$G$32,7,0)="N","",(VLOOKUP(C18,Table!$A$13:$G$32,7,0)))),CONCATENATE(VLOOKUP(C18,Table!$A$13:$G$32,3,0),"/",,VLOOKUP(C18,Table!$A$13:$G$32,4,0),"/",,VLOOKUP(C18,Table!$A$13:$G$32,5,0),"/",VLOOKUP(C18,Table!$A$13:$G$32,6,0),"/",VLOOKUP(C18,Table!$A$13:$G$32,7,0)))</f>
        <v>-/-/-/-/-</v>
      </c>
      <c r="J18" s="25">
        <f>VLOOKUP(C18,Table!$L$2:$M$21,2,0)</f>
        <v>0</v>
      </c>
    </row>
    <row r="19" spans="2:10" ht="18.600000000000001" customHeight="1" x14ac:dyDescent="0.35">
      <c r="B19" s="26">
        <v>17</v>
      </c>
      <c r="C19" s="30" t="s">
        <v>13</v>
      </c>
      <c r="D19" s="25">
        <f>SUM(E19:G19)</f>
        <v>0</v>
      </c>
      <c r="E19" s="25">
        <f>VLOOKUP(C19,Table!$L$23:$O$42,2,0)</f>
        <v>0</v>
      </c>
      <c r="F19" s="26">
        <f>VLOOKUP(C19,Table!$L$23:$O$42,4,0)</f>
        <v>0</v>
      </c>
      <c r="G19" s="26">
        <f>VLOOKUP(C19,Table!$L$23:$O$42,3,0)</f>
        <v>0</v>
      </c>
      <c r="H19" s="26">
        <f>VLOOKUP(C19,Table!$L$44:$M$63,2,0)</f>
        <v>0</v>
      </c>
      <c r="I19" s="49" t="str">
        <f>IF(VLOOKUP(C19,Table!$A$13:$I$32,9,0)="Yes",CONCATENATE(IF(VLOOKUP(C19,Table!$A$13:$G$32,2,0)="N","",VLOOKUP(C19,Table!$A$13:$G$32,2,0)),IF(VLOOKUP(C19,Table!$A$13:$G$32,3,0)="N","",IF(VLOOKUP(C19,Table!$A$13:$G$32,2,0)="N","","/")),IF(VLOOKUP(C19,Table!$A$13:$G$32,3,0)="N","",VLOOKUP(C19,Table!$A$13:$G$32,3,0)),IF(VLOOKUP(C19,Table!$A$13:$G$32,4,0)="N","","/"),IF(VLOOKUP(C19,Table!$A$13:$G$32,4,0)="N","",VLOOKUP(C19,Table!$A$13:$G$32,4,0)),IF(VLOOKUP(C19,Table!$A$13:$G$32,5,0)="N","","/"),IF(VLOOKUP(C19,Table!$A$13:$G$32,5,0)="N","",VLOOKUP(C19,Table!$A$13:$G$32,5,0)),IF(VLOOKUP(C19,Table!$A$13:$G$32,6,0)="N","","/"),IF(VLOOKUP(C19,Table!$A$13:$G$32,6,0)="N","",VLOOKUP(C19,Table!$A$13:$G$32,6,0)),IF(VLOOKUP(C19,Table!$A$13:$G$32,7,0)="N","","/"),IF(VLOOKUP(C19,Table!$A$13:$G$32,7,0)="N","",(VLOOKUP(C19,Table!$A$13:$G$32,7,0)))),CONCATENATE(VLOOKUP(C19,Table!$A$13:$G$32,3,0),"/",,VLOOKUP(C19,Table!$A$13:$G$32,4,0),"/",,VLOOKUP(C19,Table!$A$13:$G$32,5,0),"/",VLOOKUP(C19,Table!$A$13:$G$32,6,0),"/",VLOOKUP(C19,Table!$A$13:$G$32,7,0)))</f>
        <v>-/-/-/-/-</v>
      </c>
      <c r="J19" s="25">
        <f>VLOOKUP(C19,Table!$L$2:$M$21,2,0)</f>
        <v>0</v>
      </c>
    </row>
    <row r="20" spans="2:10" ht="18.600000000000001" customHeight="1" x14ac:dyDescent="0.35">
      <c r="B20" s="28">
        <v>18</v>
      </c>
      <c r="C20" s="30" t="s">
        <v>7</v>
      </c>
      <c r="D20" s="25">
        <f>SUM(E20:G20)</f>
        <v>0</v>
      </c>
      <c r="E20" s="25">
        <f>VLOOKUP(C20,Table!$L$23:$O$42,2,0)</f>
        <v>0</v>
      </c>
      <c r="F20" s="26">
        <f>VLOOKUP(C20,Table!$L$23:$O$42,4,0)</f>
        <v>0</v>
      </c>
      <c r="G20" s="26">
        <f>VLOOKUP(C20,Table!$L$23:$O$42,3,0)</f>
        <v>0</v>
      </c>
      <c r="H20" s="26">
        <f>VLOOKUP(C20,Table!$L$44:$M$63,2,0)</f>
        <v>0</v>
      </c>
      <c r="I20" s="49" t="str">
        <f>IF(VLOOKUP(C20,Table!$A$13:$I$32,9,0)="Yes",CONCATENATE(IF(VLOOKUP(C20,Table!$A$13:$G$32,2,0)="N","",VLOOKUP(C20,Table!$A$13:$G$32,2,0)),IF(VLOOKUP(C20,Table!$A$13:$G$32,3,0)="N","",IF(VLOOKUP(C20,Table!$A$13:$G$32,2,0)="N","","/")),IF(VLOOKUP(C20,Table!$A$13:$G$32,3,0)="N","",VLOOKUP(C20,Table!$A$13:$G$32,3,0)),IF(VLOOKUP(C20,Table!$A$13:$G$32,4,0)="N","","/"),IF(VLOOKUP(C20,Table!$A$13:$G$32,4,0)="N","",VLOOKUP(C20,Table!$A$13:$G$32,4,0)),IF(VLOOKUP(C20,Table!$A$13:$G$32,5,0)="N","","/"),IF(VLOOKUP(C20,Table!$A$13:$G$32,5,0)="N","",VLOOKUP(C20,Table!$A$13:$G$32,5,0)),IF(VLOOKUP(C20,Table!$A$13:$G$32,6,0)="N","","/"),IF(VLOOKUP(C20,Table!$A$13:$G$32,6,0)="N","",VLOOKUP(C20,Table!$A$13:$G$32,6,0)),IF(VLOOKUP(C20,Table!$A$13:$G$32,7,0)="N","","/"),IF(VLOOKUP(C20,Table!$A$13:$G$32,7,0)="N","",(VLOOKUP(C20,Table!$A$13:$G$32,7,0)))),CONCATENATE(VLOOKUP(C20,Table!$A$13:$G$32,3,0),"/",,VLOOKUP(C20,Table!$A$13:$G$32,4,0),"/",,VLOOKUP(C20,Table!$A$13:$G$32,5,0),"/",VLOOKUP(C20,Table!$A$13:$G$32,6,0),"/",VLOOKUP(C20,Table!$A$13:$G$32,7,0)))</f>
        <v>-/-/-/-/-</v>
      </c>
      <c r="J20" s="25">
        <f>VLOOKUP(C20,Table!$L$2:$M$21,2,0)</f>
        <v>0</v>
      </c>
    </row>
    <row r="21" spans="2:10" ht="18.600000000000001" customHeight="1" x14ac:dyDescent="0.35">
      <c r="B21" s="28">
        <v>19</v>
      </c>
      <c r="C21" s="30" t="s">
        <v>8</v>
      </c>
      <c r="D21" s="25">
        <f>SUM(E21:G21)</f>
        <v>0</v>
      </c>
      <c r="E21" s="25">
        <f>VLOOKUP(C21,Table!$L$23:$O$42,2,0)</f>
        <v>0</v>
      </c>
      <c r="F21" s="26">
        <f>VLOOKUP(C21,Table!$L$23:$O$42,4,0)</f>
        <v>0</v>
      </c>
      <c r="G21" s="26">
        <f>VLOOKUP(C21,Table!$L$23:$O$42,3,0)</f>
        <v>0</v>
      </c>
      <c r="H21" s="26">
        <f>VLOOKUP(C21,Table!$L$44:$M$63,2,0)</f>
        <v>0</v>
      </c>
      <c r="I21" s="49" t="str">
        <f>IF(VLOOKUP(C21,Table!$A$13:$I$32,9,0)="Yes",CONCATENATE(IF(VLOOKUP(C21,Table!$A$13:$G$32,2,0)="N","",VLOOKUP(C21,Table!$A$13:$G$32,2,0)),IF(VLOOKUP(C21,Table!$A$13:$G$32,3,0)="N","",IF(VLOOKUP(C21,Table!$A$13:$G$32,2,0)="N","","/")),IF(VLOOKUP(C21,Table!$A$13:$G$32,3,0)="N","",VLOOKUP(C21,Table!$A$13:$G$32,3,0)),IF(VLOOKUP(C21,Table!$A$13:$G$32,4,0)="N","","/"),IF(VLOOKUP(C21,Table!$A$13:$G$32,4,0)="N","",VLOOKUP(C21,Table!$A$13:$G$32,4,0)),IF(VLOOKUP(C21,Table!$A$13:$G$32,5,0)="N","","/"),IF(VLOOKUP(C21,Table!$A$13:$G$32,5,0)="N","",VLOOKUP(C21,Table!$A$13:$G$32,5,0)),IF(VLOOKUP(C21,Table!$A$13:$G$32,6,0)="N","","/"),IF(VLOOKUP(C21,Table!$A$13:$G$32,6,0)="N","",VLOOKUP(C21,Table!$A$13:$G$32,6,0)),IF(VLOOKUP(C21,Table!$A$13:$G$32,7,0)="N","","/"),IF(VLOOKUP(C21,Table!$A$13:$G$32,7,0)="N","",(VLOOKUP(C21,Table!$A$13:$G$32,7,0)))),CONCATENATE(VLOOKUP(C21,Table!$A$13:$G$32,3,0),"/",,VLOOKUP(C21,Table!$A$13:$G$32,4,0),"/",,VLOOKUP(C21,Table!$A$13:$G$32,5,0),"/",VLOOKUP(C21,Table!$A$13:$G$32,6,0),"/",VLOOKUP(C21,Table!$A$13:$G$32,7,0)))</f>
        <v>-/-/-/-/-</v>
      </c>
      <c r="J21" s="25">
        <f>VLOOKUP(C21,Table!$L$2:$M$21,2,0)</f>
        <v>0</v>
      </c>
    </row>
    <row r="22" spans="2:10" ht="18.600000000000001" customHeight="1" x14ac:dyDescent="0.35">
      <c r="B22" s="28">
        <v>20</v>
      </c>
      <c r="C22" s="30" t="s">
        <v>17</v>
      </c>
      <c r="D22" s="25">
        <f>SUM(E22:G22)</f>
        <v>0</v>
      </c>
      <c r="E22" s="25">
        <f>VLOOKUP(C22,Table!$L$23:$O$42,2,0)</f>
        <v>0</v>
      </c>
      <c r="F22" s="26">
        <f>VLOOKUP(C22,Table!$L$23:$O$42,4,0)</f>
        <v>0</v>
      </c>
      <c r="G22" s="26">
        <f>VLOOKUP(C22,Table!$L$23:$O$42,3,0)</f>
        <v>0</v>
      </c>
      <c r="H22" s="26">
        <f>VLOOKUP(C22,Table!$L$44:$M$63,2,0)</f>
        <v>0</v>
      </c>
      <c r="I22" s="49" t="str">
        <f>IF(VLOOKUP(C22,Table!$A$13:$I$32,9,0)="Yes",CONCATENATE(IF(VLOOKUP(C22,Table!$A$13:$G$32,2,0)="N","",VLOOKUP(C22,Table!$A$13:$G$32,2,0)),IF(VLOOKUP(C22,Table!$A$13:$G$32,3,0)="N","",IF(VLOOKUP(C22,Table!$A$13:$G$32,2,0)="N","","/")),IF(VLOOKUP(C22,Table!$A$13:$G$32,3,0)="N","",VLOOKUP(C22,Table!$A$13:$G$32,3,0)),IF(VLOOKUP(C22,Table!$A$13:$G$32,4,0)="N","","/"),IF(VLOOKUP(C22,Table!$A$13:$G$32,4,0)="N","",VLOOKUP(C22,Table!$A$13:$G$32,4,0)),IF(VLOOKUP(C22,Table!$A$13:$G$32,5,0)="N","","/"),IF(VLOOKUP(C22,Table!$A$13:$G$32,5,0)="N","",VLOOKUP(C22,Table!$A$13:$G$32,5,0)),IF(VLOOKUP(C22,Table!$A$13:$G$32,6,0)="N","","/"),IF(VLOOKUP(C22,Table!$A$13:$G$32,6,0)="N","",VLOOKUP(C22,Table!$A$13:$G$32,6,0)),IF(VLOOKUP(C22,Table!$A$13:$G$32,7,0)="N","","/"),IF(VLOOKUP(C22,Table!$A$13:$G$32,7,0)="N","",(VLOOKUP(C22,Table!$A$13:$G$32,7,0)))),CONCATENATE(VLOOKUP(C22,Table!$A$13:$G$32,3,0),"/",,VLOOKUP(C22,Table!$A$13:$G$32,4,0),"/",,VLOOKUP(C22,Table!$A$13:$G$32,5,0),"/",VLOOKUP(C22,Table!$A$13:$G$32,6,0),"/",VLOOKUP(C22,Table!$A$13:$G$32,7,0)))</f>
        <v>-/-/-/-/-</v>
      </c>
      <c r="J22" s="25">
        <f>VLOOKUP(C22,Table!$L$2:$M$21,2,0)</f>
        <v>0</v>
      </c>
    </row>
    <row r="29" spans="2:10" x14ac:dyDescent="0.3">
      <c r="C29" t="s">
        <v>11</v>
      </c>
    </row>
    <row r="30" spans="2:10" x14ac:dyDescent="0.3">
      <c r="C30" t="s">
        <v>8</v>
      </c>
    </row>
    <row r="31" spans="2:10" x14ac:dyDescent="0.3">
      <c r="C31" t="s">
        <v>17</v>
      </c>
    </row>
    <row r="32" spans="2:10" x14ac:dyDescent="0.3">
      <c r="C32" t="s">
        <v>13</v>
      </c>
    </row>
    <row r="33" spans="3:3" x14ac:dyDescent="0.3">
      <c r="C33" t="s">
        <v>0</v>
      </c>
    </row>
    <row r="34" spans="3:3" x14ac:dyDescent="0.3">
      <c r="C34" t="s">
        <v>6</v>
      </c>
    </row>
    <row r="35" spans="3:3" x14ac:dyDescent="0.3">
      <c r="C35" t="s">
        <v>1</v>
      </c>
    </row>
    <row r="36" spans="3:3" x14ac:dyDescent="0.3">
      <c r="C36" t="s">
        <v>14</v>
      </c>
    </row>
    <row r="37" spans="3:3" x14ac:dyDescent="0.3">
      <c r="C37" t="s">
        <v>16</v>
      </c>
    </row>
    <row r="38" spans="3:3" x14ac:dyDescent="0.3">
      <c r="C38" t="s">
        <v>3</v>
      </c>
    </row>
    <row r="39" spans="3:3" x14ac:dyDescent="0.3">
      <c r="C39" t="s">
        <v>18</v>
      </c>
    </row>
    <row r="40" spans="3:3" x14ac:dyDescent="0.3">
      <c r="C40" t="s">
        <v>2</v>
      </c>
    </row>
    <row r="41" spans="3:3" x14ac:dyDescent="0.3">
      <c r="C41" t="s">
        <v>15</v>
      </c>
    </row>
    <row r="42" spans="3:3" x14ac:dyDescent="0.3">
      <c r="C42" t="s">
        <v>5</v>
      </c>
    </row>
    <row r="43" spans="3:3" x14ac:dyDescent="0.3">
      <c r="C43" t="s">
        <v>4</v>
      </c>
    </row>
    <row r="44" spans="3:3" x14ac:dyDescent="0.3">
      <c r="C44" t="s">
        <v>10</v>
      </c>
    </row>
    <row r="45" spans="3:3" x14ac:dyDescent="0.3">
      <c r="C45" t="s">
        <v>12</v>
      </c>
    </row>
    <row r="46" spans="3:3" x14ac:dyDescent="0.3">
      <c r="C46" t="s">
        <v>23</v>
      </c>
    </row>
    <row r="47" spans="3:3" x14ac:dyDescent="0.3">
      <c r="C47" t="s">
        <v>9</v>
      </c>
    </row>
    <row r="48" spans="3:3" x14ac:dyDescent="0.3">
      <c r="C48" t="s">
        <v>7</v>
      </c>
    </row>
    <row r="49" spans="3:3" x14ac:dyDescent="0.3">
      <c r="C49" t="s">
        <v>66</v>
      </c>
    </row>
  </sheetData>
  <sortState ref="C3:J22">
    <sortCondition descending="1" ref="J3:J22"/>
  </sortState>
  <mergeCells count="20">
    <mergeCell ref="R9:S9"/>
    <mergeCell ref="L4:N4"/>
    <mergeCell ref="R4:S4"/>
    <mergeCell ref="R5:S5"/>
    <mergeCell ref="R6:S6"/>
    <mergeCell ref="R7:S7"/>
    <mergeCell ref="R8:S8"/>
    <mergeCell ref="L5:N5"/>
    <mergeCell ref="L6:N6"/>
    <mergeCell ref="L7:N7"/>
    <mergeCell ref="L8:N8"/>
    <mergeCell ref="L9:N9"/>
    <mergeCell ref="R10:S10"/>
    <mergeCell ref="R11:S11"/>
    <mergeCell ref="R12:S12"/>
    <mergeCell ref="R13:S13"/>
    <mergeCell ref="L10:N10"/>
    <mergeCell ref="L11:N11"/>
    <mergeCell ref="L12:N12"/>
    <mergeCell ref="L13:N13"/>
  </mergeCells>
  <conditionalFormatting sqref="C29:D29 U4:U13 W4:W13 L4:N13 R4:S13 C3:D22">
    <cfRule type="containsText" dxfId="40" priority="101" operator="containsText" text="Crystal Palace">
      <formula>NOT(ISERROR(SEARCH("Crystal Palace",C3)))</formula>
    </cfRule>
  </conditionalFormatting>
  <conditionalFormatting sqref="C30:D30 U4:U13 W4:W13 L4:N13 R4:S13 C3:D22">
    <cfRule type="containsText" dxfId="39" priority="100" operator="containsText" text="Watford">
      <formula>NOT(ISERROR(SEARCH("Watford",C3)))</formula>
    </cfRule>
  </conditionalFormatting>
  <conditionalFormatting sqref="C31:D31 U4:U13 W4:W13 L4:N13 R4:S13 C3:D22">
    <cfRule type="containsText" dxfId="38" priority="99" operator="containsText" text="Stoke City">
      <formula>NOT(ISERROR(SEARCH("Stoke City",C3)))</formula>
    </cfRule>
  </conditionalFormatting>
  <conditionalFormatting sqref="C32:D32 U4:U13 W4:W13 L4:N13 R4:S13 C3:D22">
    <cfRule type="containsText" dxfId="37" priority="98" operator="containsText" text="Swansea City">
      <formula>NOT(ISERROR(SEARCH("Swansea City",C3)))</formula>
    </cfRule>
  </conditionalFormatting>
  <conditionalFormatting sqref="C33:D33 U4:U13 W4:W13 L4:N13 R4:S13 C3:D22">
    <cfRule type="containsText" dxfId="36" priority="97" operator="containsText" text="Manchester City">
      <formula>NOT(ISERROR(SEARCH("Manchester City",C3)))</formula>
    </cfRule>
  </conditionalFormatting>
  <conditionalFormatting sqref="C48:D48 U4:U13 W4:W13 L4:N13 R4:S13 C3:D22">
    <cfRule type="containsText" dxfId="35" priority="82" operator="containsText" text="Burnley">
      <formula>NOT(ISERROR(SEARCH("Burnley",C3)))</formula>
    </cfRule>
  </conditionalFormatting>
  <conditionalFormatting sqref="C47:D47 U4:U13 W4:W13 L4:N13 R4:S13 C3:D22">
    <cfRule type="containsText" dxfId="34" priority="83" operator="containsText" text="Bournemouth">
      <formula>NOT(ISERROR(SEARCH("Bournemouth",C3)))</formula>
    </cfRule>
  </conditionalFormatting>
  <conditionalFormatting sqref="C46:D46 U4:U13 W4:W13 L4:N13 R4:S13 C3:D22">
    <cfRule type="containsText" dxfId="33" priority="84" operator="containsText" text="Newcastle">
      <formula>NOT(ISERROR(SEARCH("Newcastle",C3)))</formula>
    </cfRule>
  </conditionalFormatting>
  <conditionalFormatting sqref="C45:D45 U4:U13 W4:W13 L4:N13 R4:S13 C3:D22">
    <cfRule type="containsText" dxfId="32" priority="85" operator="containsText" text="Southampton">
      <formula>NOT(ISERROR(SEARCH("Southampton",C3)))</formula>
    </cfRule>
  </conditionalFormatting>
  <conditionalFormatting sqref="C44:D44 U4:U13 W4:W13 L4:N13 R4:S13 C3:D22">
    <cfRule type="containsText" dxfId="31" priority="86" operator="containsText" text="Brighton">
      <formula>NOT(ISERROR(SEARCH("Brighton",C3)))</formula>
    </cfRule>
  </conditionalFormatting>
  <conditionalFormatting sqref="C43:D43 U4:U13 W4:W13 L4:N13 R4:S13 C3:D22">
    <cfRule type="containsText" dxfId="30" priority="87" operator="containsText" text="Tottenham Hotspur">
      <formula>NOT(ISERROR(SEARCH("Tottenham Hotspur",C3)))</formula>
    </cfRule>
  </conditionalFormatting>
  <conditionalFormatting sqref="C42:D42 U4:U13 W4:W13 L4:N13 R4:S13 C3:D22">
    <cfRule type="containsText" dxfId="29" priority="88" operator="containsText" text="Liverpool">
      <formula>NOT(ISERROR(SEARCH("Liverpool",C3)))</formula>
    </cfRule>
  </conditionalFormatting>
  <conditionalFormatting sqref="C41:D41 U4:U13 W4:W13 L4:N13 R4:S13 C3:D22">
    <cfRule type="containsText" dxfId="28" priority="89" operator="containsText" text="West Bromwich">
      <formula>NOT(ISERROR(SEARCH("West Bromwich",C3)))</formula>
    </cfRule>
  </conditionalFormatting>
  <conditionalFormatting sqref="C40:D40 U4:U13 W4:W13 L4:N13 R4:S13 C3:D22">
    <cfRule type="containsText" dxfId="27" priority="90" operator="containsText" text="Chelsea">
      <formula>NOT(ISERROR(SEARCH("Chelsea",C3)))</formula>
    </cfRule>
  </conditionalFormatting>
  <conditionalFormatting sqref="C39:D39 U4:U13 W4:W13 L4:N13 R4:S13 C3:D22">
    <cfRule type="containsText" dxfId="26" priority="91" operator="containsText" text="Leicester City">
      <formula>NOT(ISERROR(SEARCH("Leicester City",C3)))</formula>
    </cfRule>
  </conditionalFormatting>
  <conditionalFormatting sqref="C38:D38 U4:U13 W4:W13 L4:N13 R4:S13 C3:D22">
    <cfRule type="containsText" dxfId="25" priority="92" operator="containsText" text="Arsenal">
      <formula>NOT(ISERROR(SEARCH("Arsenal",C3)))</formula>
    </cfRule>
  </conditionalFormatting>
  <conditionalFormatting sqref="C37:D37 U4:U13 W4:W13 L4:N13 R4:S13 C3:D22">
    <cfRule type="containsText" dxfId="24" priority="93" operator="containsText" text="West Ham United">
      <formula>NOT(ISERROR(SEARCH("West Ham United",C3)))</formula>
    </cfRule>
  </conditionalFormatting>
  <conditionalFormatting sqref="C36:D36 U4:U13 W4:W13 L4:N13 R4:S13 C3:D22">
    <cfRule type="containsText" dxfId="23" priority="94" operator="containsText" text="Huddersfield">
      <formula>NOT(ISERROR(SEARCH("Huddersfield",C3)))</formula>
    </cfRule>
  </conditionalFormatting>
  <conditionalFormatting sqref="C35:D35 U4:U13 W4:W13 L4:N13 R4:S13 C3:D22">
    <cfRule type="containsText" dxfId="22" priority="95" operator="containsText" text="Manchester United">
      <formula>NOT(ISERROR(SEARCH("Manchester United",C3)))</formula>
    </cfRule>
  </conditionalFormatting>
  <conditionalFormatting sqref="C34:D34 U4:U13 W4:W13 L4:N13 R4:S13 C3:D22">
    <cfRule type="containsText" dxfId="21" priority="96" operator="containsText" text="Everton">
      <formula>NOT(ISERROR(SEARCH("Everton",C3)))</formula>
    </cfRule>
  </conditionalFormatting>
  <conditionalFormatting sqref="C49 L4:N13 R4:S13 U4:U13 W4:W13">
    <cfRule type="containsText" dxfId="20" priority="1" operator="containsText" text="No Team">
      <formula>NOT(ISERROR(SEARCH("No Team",C4)))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Fixtures_V2">
                <anchor moveWithCells="1" sizeWithCells="1">
                  <from>
                    <xdr:col>20</xdr:col>
                    <xdr:colOff>434340</xdr:colOff>
                    <xdr:row>14</xdr:row>
                    <xdr:rowOff>99060</xdr:rowOff>
                  </from>
                  <to>
                    <xdr:col>22</xdr:col>
                    <xdr:colOff>777240</xdr:colOff>
                    <xdr:row>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Simulate_Next_Match">
                <anchor moveWithCells="1" sizeWithCells="1">
                  <from>
                    <xdr:col>12</xdr:col>
                    <xdr:colOff>106680</xdr:colOff>
                    <xdr:row>14</xdr:row>
                    <xdr:rowOff>144780</xdr:rowOff>
                  </from>
                  <to>
                    <xdr:col>18</xdr:col>
                    <xdr:colOff>45720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Clear_Season">
                <anchor moveWithCells="1" sizeWithCells="1">
                  <from>
                    <xdr:col>18</xdr:col>
                    <xdr:colOff>297180</xdr:colOff>
                    <xdr:row>15</xdr:row>
                    <xdr:rowOff>220980</xdr:rowOff>
                  </from>
                  <to>
                    <xdr:col>19</xdr:col>
                    <xdr:colOff>312420</xdr:colOff>
                    <xdr:row>17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A429"/>
  <sheetViews>
    <sheetView topLeftCell="A17" workbookViewId="0">
      <selection activeCell="V2" sqref="V2:Z11"/>
    </sheetView>
  </sheetViews>
  <sheetFormatPr defaultRowHeight="14.4" x14ac:dyDescent="0.3"/>
  <cols>
    <col min="2" max="2" width="19" customWidth="1"/>
    <col min="11" max="11" width="16.6640625" customWidth="1"/>
    <col min="13" max="13" width="16.6640625" customWidth="1"/>
    <col min="15" max="15" width="9.44140625" customWidth="1"/>
    <col min="22" max="22" width="18.88671875" customWidth="1"/>
    <col min="23" max="23" width="6.5546875" customWidth="1"/>
    <col min="24" max="24" width="3.33203125" customWidth="1"/>
    <col min="25" max="25" width="3.88671875" customWidth="1"/>
    <col min="26" max="26" width="19.33203125" customWidth="1"/>
  </cols>
  <sheetData>
    <row r="1" spans="2:27" ht="15" thickBot="1" x14ac:dyDescent="0.35">
      <c r="F1">
        <v>1</v>
      </c>
      <c r="K1" t="s">
        <v>26</v>
      </c>
      <c r="O1" t="s">
        <v>27</v>
      </c>
      <c r="P1" t="s">
        <v>35</v>
      </c>
      <c r="Q1" t="s">
        <v>36</v>
      </c>
      <c r="R1" t="s">
        <v>37</v>
      </c>
    </row>
    <row r="2" spans="2:27" ht="15.6" x14ac:dyDescent="0.3">
      <c r="B2" t="s">
        <v>3</v>
      </c>
      <c r="C2">
        <f t="shared" ref="C2:C21" ca="1" si="0">RAND()</f>
        <v>0.44593225889393429</v>
      </c>
      <c r="E2">
        <v>10</v>
      </c>
      <c r="F2" t="s">
        <v>3</v>
      </c>
      <c r="G2" s="1"/>
      <c r="H2" t="s">
        <v>17</v>
      </c>
      <c r="K2" t="str">
        <f>F2</f>
        <v>Arsenal</v>
      </c>
      <c r="L2">
        <f ca="1">MAX(0,(VLOOKUP(RAND(),$S$2:$T$9,2,1)+(IF(RAND()+((VLOOKUP(K2,$B$23:$C$42,2,1)-VLOOKUP(M2,$B$23:$C$42,2,1))/2)&gt;0.9,1,0)+(IF(RAND()+((VLOOKUP(K2,$B$23:$C$42,2,1)-VLOOKUP(M2,$B$23:$C$42,2,1))/2)&lt;0,-1,0)))))</f>
        <v>1</v>
      </c>
      <c r="M2" t="str">
        <f>H2</f>
        <v>Stoke City</v>
      </c>
      <c r="N2">
        <f ca="1">MAX(0,(VLOOKUP(RAND(),$S$2:$T$9,2,1)+(IF(RAND()+((VLOOKUP(M2,$B$23:$C$42,2,1)-VLOOKUP(K2,$B$23:$C$42,2,1))/2)&gt;0.95,1,0)+(IF(RAND()+((VLOOKUP(M2,$B$23:$C$42,2,1)-VLOOKUP(K2,$B$23:$C$42,2,1))/2)&lt;0,-1,0)))))</f>
        <v>2</v>
      </c>
      <c r="O2" t="str">
        <f ca="1">IF(L2=N2,"Draw",IF(L2&gt;N2,K2,M2))</f>
        <v>Stoke City</v>
      </c>
      <c r="P2" t="str">
        <f ca="1">IF(O2="Draw","Draw",IF(O2=K2,M2,K2))</f>
        <v>Arsenal</v>
      </c>
      <c r="Q2" t="str">
        <f ca="1">IF(L2=N2,K2,"Not Draw")</f>
        <v>Not Draw</v>
      </c>
      <c r="R2" t="str">
        <f ca="1">IF(L2=N2,M2,"Not Draw")</f>
        <v>Not Draw</v>
      </c>
      <c r="S2" s="12">
        <v>0</v>
      </c>
      <c r="T2" s="12">
        <v>0</v>
      </c>
      <c r="V2" s="42" t="e">
        <f>VLOOKUP(((Sheet2!$K$1)*10)+0,Sheet1!$E:$N,7,0)</f>
        <v>#N/A</v>
      </c>
      <c r="W2" s="31" t="e">
        <f>VLOOKUP(((Sheet2!$K$1)*10)+0,Sheet1!$E:$N,8,0)</f>
        <v>#N/A</v>
      </c>
      <c r="X2" s="32" t="s">
        <v>24</v>
      </c>
      <c r="Y2" s="33" t="e">
        <f>VLOOKUP(((Sheet2!$K$1)*10)+0,Sheet1!$E:$N,10,0)</f>
        <v>#N/A</v>
      </c>
      <c r="Z2" s="45" t="e">
        <f>VLOOKUP(((Sheet2!$K$1)*10)+0,Sheet1!$E:$N,9,0)</f>
        <v>#N/A</v>
      </c>
      <c r="AA2" s="45"/>
    </row>
    <row r="3" spans="2:27" ht="15.6" x14ac:dyDescent="0.3">
      <c r="B3" t="s">
        <v>16</v>
      </c>
      <c r="C3">
        <f t="shared" ca="1" si="0"/>
        <v>0.52969498289606565</v>
      </c>
      <c r="E3">
        <v>11</v>
      </c>
      <c r="F3" t="s">
        <v>16</v>
      </c>
      <c r="G3" s="1"/>
      <c r="H3" t="s">
        <v>12</v>
      </c>
      <c r="K3" t="str">
        <f t="shared" ref="K3:K66" si="1">F3</f>
        <v>West Ham United</v>
      </c>
      <c r="L3">
        <f t="shared" ref="L3:L66" ca="1" si="2">MAX(0,(VLOOKUP(RAND(),$S$2:$T$9,2,1)+(IF(RAND()+((VLOOKUP(K3,$B$23:$C$42,2,1)-VLOOKUP(M3,$B$23:$C$42,2,1))/2)&gt;0.9,1,0)+(IF(RAND()+((VLOOKUP(K3,$B$23:$C$42,2,1)-VLOOKUP(M3,$B$23:$C$42,2,1))/2)&lt;0,-1,0)))))</f>
        <v>0</v>
      </c>
      <c r="M3" t="str">
        <f t="shared" ref="M3:M66" si="3">H3</f>
        <v>Southampton</v>
      </c>
      <c r="N3">
        <f t="shared" ref="N3:N66" ca="1" si="4">MAX(0,(VLOOKUP(RAND(),$S$2:$T$9,2,1)+(IF(RAND()+((VLOOKUP(M3,$B$23:$C$42,2,1)-VLOOKUP(K3,$B$23:$C$42,2,1))/2)&gt;0.95,1,0)+(IF(RAND()+((VLOOKUP(M3,$B$23:$C$42,2,1)-VLOOKUP(K3,$B$23:$C$42,2,1))/2)&lt;0,-1,0)))))</f>
        <v>0</v>
      </c>
      <c r="O3" t="str">
        <f t="shared" ref="O3:O66" ca="1" si="5">IF(L3=N3,"Draw",IF(L3&gt;N3,K3,M3))</f>
        <v>Draw</v>
      </c>
      <c r="P3" t="str">
        <f t="shared" ref="P3:P66" ca="1" si="6">IF(O3="Draw","Draw",IF(O3=K3,M3,K3))</f>
        <v>Draw</v>
      </c>
      <c r="Q3" t="str">
        <f t="shared" ref="Q3:Q66" ca="1" si="7">IF(L3=N3,K3,"Not Draw")</f>
        <v>West Ham United</v>
      </c>
      <c r="R3" t="str">
        <f t="shared" ref="R3:R66" ca="1" si="8">IF(L3=N3,M3,"Not Draw")</f>
        <v>Southampton</v>
      </c>
      <c r="S3" s="12">
        <v>0.3</v>
      </c>
      <c r="T3" s="12">
        <v>1</v>
      </c>
      <c r="V3" s="41" t="e">
        <f>VLOOKUP(((Sheet2!$K$1)*10)+1,Sheet1!$E:$N,7,0)</f>
        <v>#N/A</v>
      </c>
      <c r="W3" s="34" t="e">
        <f>VLOOKUP(((Sheet2!$K$1)*10)+1,Sheet1!$E:$N,8,0)</f>
        <v>#N/A</v>
      </c>
      <c r="X3" s="35" t="s">
        <v>24</v>
      </c>
      <c r="Y3" s="36" t="e">
        <f>VLOOKUP(((Sheet2!$K$1)*10)+1,Sheet1!$E:$N,10,0)</f>
        <v>#N/A</v>
      </c>
      <c r="Z3" s="44" t="e">
        <f>VLOOKUP(((Sheet2!$K$1)*10)+1,Sheet1!$E:$N,9,0)</f>
        <v>#N/A</v>
      </c>
      <c r="AA3" s="44"/>
    </row>
    <row r="4" spans="2:27" ht="15.6" x14ac:dyDescent="0.3">
      <c r="B4" t="s">
        <v>7</v>
      </c>
      <c r="C4">
        <f t="shared" ca="1" si="0"/>
        <v>0.31216350834425377</v>
      </c>
      <c r="E4">
        <v>12</v>
      </c>
      <c r="F4" t="s">
        <v>7</v>
      </c>
      <c r="G4" s="1"/>
      <c r="H4" t="s">
        <v>23</v>
      </c>
      <c r="K4" t="str">
        <f t="shared" si="1"/>
        <v>Burnley</v>
      </c>
      <c r="L4">
        <f t="shared" ca="1" si="2"/>
        <v>1</v>
      </c>
      <c r="M4" t="str">
        <f t="shared" si="3"/>
        <v>Newcastle</v>
      </c>
      <c r="N4">
        <f t="shared" ca="1" si="4"/>
        <v>2</v>
      </c>
      <c r="O4" t="str">
        <f t="shared" ca="1" si="5"/>
        <v>Newcastle</v>
      </c>
      <c r="P4" t="str">
        <f t="shared" ca="1" si="6"/>
        <v>Burnley</v>
      </c>
      <c r="Q4" t="str">
        <f t="shared" ca="1" si="7"/>
        <v>Not Draw</v>
      </c>
      <c r="R4" t="str">
        <f t="shared" ca="1" si="8"/>
        <v>Not Draw</v>
      </c>
      <c r="S4" s="12">
        <v>0.55000000000000004</v>
      </c>
      <c r="T4" s="12">
        <v>2</v>
      </c>
      <c r="V4" s="41" t="e">
        <f>VLOOKUP(((Sheet2!$K$1)*10)+2,Sheet1!$E:$N,7,0)</f>
        <v>#N/A</v>
      </c>
      <c r="W4" s="34" t="e">
        <f>VLOOKUP(((Sheet2!$K$1)*10)+2,Sheet1!$E:$N,8,0)</f>
        <v>#N/A</v>
      </c>
      <c r="X4" s="35" t="s">
        <v>24</v>
      </c>
      <c r="Y4" s="36" t="e">
        <f>VLOOKUP(((Sheet2!$K$1)*10)+2,Sheet1!$E:$N,10,0)</f>
        <v>#N/A</v>
      </c>
      <c r="Z4" s="44" t="e">
        <f>VLOOKUP(((Sheet2!$K$1)*10)+2,Sheet1!$E:$N,9,0)</f>
        <v>#N/A</v>
      </c>
      <c r="AA4" s="44"/>
    </row>
    <row r="5" spans="2:27" ht="15.6" x14ac:dyDescent="0.3">
      <c r="B5" t="s">
        <v>0</v>
      </c>
      <c r="C5">
        <f t="shared" ca="1" si="0"/>
        <v>0.742077764271867</v>
      </c>
      <c r="E5">
        <v>13</v>
      </c>
      <c r="F5" t="s">
        <v>0</v>
      </c>
      <c r="G5" s="1"/>
      <c r="H5" t="s">
        <v>11</v>
      </c>
      <c r="K5" t="str">
        <f t="shared" si="1"/>
        <v>Manchester City</v>
      </c>
      <c r="L5">
        <f t="shared" ca="1" si="2"/>
        <v>0</v>
      </c>
      <c r="M5" t="str">
        <f t="shared" si="3"/>
        <v>Crystal Palace</v>
      </c>
      <c r="N5">
        <f t="shared" ca="1" si="4"/>
        <v>1</v>
      </c>
      <c r="O5" t="str">
        <f t="shared" ca="1" si="5"/>
        <v>Crystal Palace</v>
      </c>
      <c r="P5" t="str">
        <f t="shared" ca="1" si="6"/>
        <v>Manchester City</v>
      </c>
      <c r="Q5" t="str">
        <f t="shared" ca="1" si="7"/>
        <v>Not Draw</v>
      </c>
      <c r="R5" t="str">
        <f t="shared" ca="1" si="8"/>
        <v>Not Draw</v>
      </c>
      <c r="S5" s="12">
        <v>0.85</v>
      </c>
      <c r="T5" s="12">
        <v>3</v>
      </c>
      <c r="V5" s="41" t="e">
        <f>VLOOKUP(((Sheet2!$K$1)*10)+3,Sheet1!$E:$N,7,0)</f>
        <v>#N/A</v>
      </c>
      <c r="W5" s="34" t="e">
        <f>VLOOKUP(((Sheet2!$K$1)*10)+3,Sheet1!$E:$N,8,0)</f>
        <v>#N/A</v>
      </c>
      <c r="X5" s="35" t="s">
        <v>24</v>
      </c>
      <c r="Y5" s="36" t="e">
        <f>VLOOKUP(((Sheet2!$K$1)*10)+3,Sheet1!$E:$N,10,0)</f>
        <v>#N/A</v>
      </c>
      <c r="Z5" s="44" t="e">
        <f>VLOOKUP(((Sheet2!$K$1)*10)+3,Sheet1!$E:$N,9,0)</f>
        <v>#N/A</v>
      </c>
      <c r="AA5" s="44"/>
    </row>
    <row r="6" spans="2:27" ht="15.6" x14ac:dyDescent="0.3">
      <c r="B6" t="s">
        <v>10</v>
      </c>
      <c r="C6">
        <f t="shared" ca="1" si="0"/>
        <v>0.41411084480073534</v>
      </c>
      <c r="E6">
        <v>14</v>
      </c>
      <c r="F6" t="s">
        <v>10</v>
      </c>
      <c r="G6" s="1"/>
      <c r="H6" t="s">
        <v>9</v>
      </c>
      <c r="K6" t="str">
        <f t="shared" si="1"/>
        <v>Brighton</v>
      </c>
      <c r="L6">
        <f t="shared" ca="1" si="2"/>
        <v>0</v>
      </c>
      <c r="M6" t="str">
        <f t="shared" si="3"/>
        <v>Bournemouth</v>
      </c>
      <c r="N6">
        <f t="shared" ca="1" si="4"/>
        <v>1</v>
      </c>
      <c r="O6" t="str">
        <f t="shared" ca="1" si="5"/>
        <v>Bournemouth</v>
      </c>
      <c r="P6" t="str">
        <f t="shared" ca="1" si="6"/>
        <v>Brighton</v>
      </c>
      <c r="Q6" t="str">
        <f t="shared" ca="1" si="7"/>
        <v>Not Draw</v>
      </c>
      <c r="R6" t="str">
        <f t="shared" ca="1" si="8"/>
        <v>Not Draw</v>
      </c>
      <c r="S6" s="12">
        <v>0.9</v>
      </c>
      <c r="T6" s="12">
        <v>4</v>
      </c>
      <c r="V6" s="41" t="e">
        <f>VLOOKUP(((Sheet2!$K$1)*10)+4,Sheet1!$E:$N,7,0)</f>
        <v>#N/A</v>
      </c>
      <c r="W6" s="34" t="e">
        <f>VLOOKUP(((Sheet2!$K$1)*10)+4,Sheet1!$E:$N,8,0)</f>
        <v>#N/A</v>
      </c>
      <c r="X6" s="35" t="s">
        <v>24</v>
      </c>
      <c r="Y6" s="36" t="e">
        <f>VLOOKUP(((Sheet2!$K$1)*10)+4,Sheet1!$E:$N,10,0)</f>
        <v>#N/A</v>
      </c>
      <c r="Z6" s="44" t="e">
        <f>VLOOKUP(((Sheet2!$K$1)*10)+4,Sheet1!$E:$N,9,0)</f>
        <v>#N/A</v>
      </c>
      <c r="AA6" s="44"/>
    </row>
    <row r="7" spans="2:27" ht="15.6" x14ac:dyDescent="0.3">
      <c r="B7" t="s">
        <v>13</v>
      </c>
      <c r="C7">
        <f t="shared" ca="1" si="0"/>
        <v>0.13114997310906029</v>
      </c>
      <c r="E7">
        <v>15</v>
      </c>
      <c r="F7" t="s">
        <v>13</v>
      </c>
      <c r="G7" s="1"/>
      <c r="H7" t="s">
        <v>5</v>
      </c>
      <c r="K7" t="str">
        <f t="shared" si="1"/>
        <v>Swansea City</v>
      </c>
      <c r="L7">
        <f t="shared" ca="1" si="2"/>
        <v>5</v>
      </c>
      <c r="M7" t="str">
        <f t="shared" si="3"/>
        <v>Liverpool</v>
      </c>
      <c r="N7">
        <f t="shared" ca="1" si="4"/>
        <v>2</v>
      </c>
      <c r="O7" t="str">
        <f t="shared" ca="1" si="5"/>
        <v>Swansea City</v>
      </c>
      <c r="P7" t="str">
        <f t="shared" ca="1" si="6"/>
        <v>Liverpool</v>
      </c>
      <c r="Q7" t="str">
        <f t="shared" ca="1" si="7"/>
        <v>Not Draw</v>
      </c>
      <c r="R7" t="str">
        <f t="shared" ca="1" si="8"/>
        <v>Not Draw</v>
      </c>
      <c r="S7" s="12">
        <v>0.97799999999999998</v>
      </c>
      <c r="T7" s="12">
        <v>5</v>
      </c>
      <c r="V7" s="41" t="e">
        <f>VLOOKUP(((Sheet2!$K$1)*10)+5,Sheet1!$E:$N,7,0)</f>
        <v>#N/A</v>
      </c>
      <c r="W7" s="34" t="e">
        <f>VLOOKUP(((Sheet2!$K$1)*10)+5,Sheet1!$E:$N,8,0)</f>
        <v>#N/A</v>
      </c>
      <c r="X7" s="35" t="s">
        <v>24</v>
      </c>
      <c r="Y7" s="36" t="e">
        <f>VLOOKUP(((Sheet2!$K$1)*10)+5,Sheet1!$E:$N,10,0)</f>
        <v>#N/A</v>
      </c>
      <c r="Z7" s="44" t="e">
        <f>VLOOKUP(((Sheet2!$K$1)*10)+5,Sheet1!$E:$N,9,0)</f>
        <v>#N/A</v>
      </c>
      <c r="AA7" s="44"/>
    </row>
    <row r="8" spans="2:27" ht="15.6" x14ac:dyDescent="0.3">
      <c r="B8" t="s">
        <v>2</v>
      </c>
      <c r="C8">
        <f t="shared" ca="1" si="0"/>
        <v>0.55282158004348358</v>
      </c>
      <c r="E8">
        <v>16</v>
      </c>
      <c r="F8" t="s">
        <v>2</v>
      </c>
      <c r="G8" s="1"/>
      <c r="H8" t="s">
        <v>8</v>
      </c>
      <c r="K8" t="str">
        <f t="shared" si="1"/>
        <v>Chelsea</v>
      </c>
      <c r="L8">
        <f t="shared" ca="1" si="2"/>
        <v>0</v>
      </c>
      <c r="M8" t="str">
        <f t="shared" si="3"/>
        <v>Watford</v>
      </c>
      <c r="N8">
        <f t="shared" ca="1" si="4"/>
        <v>3</v>
      </c>
      <c r="O8" t="str">
        <f t="shared" ca="1" si="5"/>
        <v>Watford</v>
      </c>
      <c r="P8" t="str">
        <f t="shared" ca="1" si="6"/>
        <v>Chelsea</v>
      </c>
      <c r="Q8" t="str">
        <f t="shared" ca="1" si="7"/>
        <v>Not Draw</v>
      </c>
      <c r="R8" t="str">
        <f t="shared" ca="1" si="8"/>
        <v>Not Draw</v>
      </c>
      <c r="S8" s="12">
        <v>0.995</v>
      </c>
      <c r="T8" s="12">
        <v>6</v>
      </c>
      <c r="V8" s="41" t="e">
        <f>VLOOKUP(((Sheet2!$K$1)*10)+6,Sheet1!$E:$N,7,0)</f>
        <v>#N/A</v>
      </c>
      <c r="W8" s="34" t="e">
        <f>VLOOKUP(((Sheet2!$K$1)*10)+6,Sheet1!$E:$N,8,0)</f>
        <v>#N/A</v>
      </c>
      <c r="X8" s="35" t="s">
        <v>24</v>
      </c>
      <c r="Y8" s="36" t="e">
        <f>VLOOKUP(((Sheet2!$K$1)*10)+6,Sheet1!$E:$N,10,0)</f>
        <v>#N/A</v>
      </c>
      <c r="Z8" s="44" t="e">
        <f>VLOOKUP(((Sheet2!$K$1)*10)+6,Sheet1!$E:$N,9,0)</f>
        <v>#N/A</v>
      </c>
      <c r="AA8" s="44"/>
    </row>
    <row r="9" spans="2:27" ht="15.6" x14ac:dyDescent="0.3">
      <c r="B9" t="s">
        <v>6</v>
      </c>
      <c r="C9">
        <f t="shared" ca="1" si="0"/>
        <v>0.16839935426385533</v>
      </c>
      <c r="E9">
        <v>17</v>
      </c>
      <c r="F9" t="s">
        <v>6</v>
      </c>
      <c r="G9" s="1"/>
      <c r="H9" t="s">
        <v>14</v>
      </c>
      <c r="K9" t="str">
        <f t="shared" si="1"/>
        <v>Everton</v>
      </c>
      <c r="L9">
        <f t="shared" ca="1" si="2"/>
        <v>3</v>
      </c>
      <c r="M9" t="str">
        <f t="shared" si="3"/>
        <v>Huddersfield</v>
      </c>
      <c r="N9">
        <f t="shared" ca="1" si="4"/>
        <v>2</v>
      </c>
      <c r="O9" t="str">
        <f t="shared" ca="1" si="5"/>
        <v>Everton</v>
      </c>
      <c r="P9" t="str">
        <f t="shared" ca="1" si="6"/>
        <v>Huddersfield</v>
      </c>
      <c r="Q9" t="str">
        <f t="shared" ca="1" si="7"/>
        <v>Not Draw</v>
      </c>
      <c r="R9" t="str">
        <f t="shared" ca="1" si="8"/>
        <v>Not Draw</v>
      </c>
      <c r="V9" s="41" t="e">
        <f>VLOOKUP(((Sheet2!$K$1)*10)+7,Sheet1!$E:$N,7,0)</f>
        <v>#N/A</v>
      </c>
      <c r="W9" s="34" t="e">
        <f>VLOOKUP(((Sheet2!$K$1)*10)+7,Sheet1!$E:$N,8,0)</f>
        <v>#N/A</v>
      </c>
      <c r="X9" s="35" t="s">
        <v>24</v>
      </c>
      <c r="Y9" s="36" t="e">
        <f>VLOOKUP(((Sheet2!$K$1)*10)+7,Sheet1!$E:$N,10,0)</f>
        <v>#N/A</v>
      </c>
      <c r="Z9" s="44" t="e">
        <f>VLOOKUP(((Sheet2!$K$1)*10)+7,Sheet1!$E:$N,9,0)</f>
        <v>#N/A</v>
      </c>
      <c r="AA9" s="44"/>
    </row>
    <row r="10" spans="2:27" ht="15.6" x14ac:dyDescent="0.3">
      <c r="B10" t="s">
        <v>18</v>
      </c>
      <c r="C10">
        <f t="shared" ca="1" si="0"/>
        <v>0.12454475262740039</v>
      </c>
      <c r="E10">
        <v>18</v>
      </c>
      <c r="F10" t="s">
        <v>18</v>
      </c>
      <c r="G10" s="1"/>
      <c r="H10" t="s">
        <v>1</v>
      </c>
      <c r="K10" t="str">
        <f t="shared" si="1"/>
        <v>Leicester City</v>
      </c>
      <c r="L10">
        <f t="shared" ca="1" si="2"/>
        <v>1</v>
      </c>
      <c r="M10" t="str">
        <f t="shared" si="3"/>
        <v>Manchester United</v>
      </c>
      <c r="N10">
        <f t="shared" ca="1" si="4"/>
        <v>0</v>
      </c>
      <c r="O10" t="str">
        <f t="shared" ca="1" si="5"/>
        <v>Leicester City</v>
      </c>
      <c r="P10" t="str">
        <f t="shared" ca="1" si="6"/>
        <v>Manchester United</v>
      </c>
      <c r="Q10" t="str">
        <f t="shared" ca="1" si="7"/>
        <v>Not Draw</v>
      </c>
      <c r="R10" t="str">
        <f t="shared" ca="1" si="8"/>
        <v>Not Draw</v>
      </c>
      <c r="V10" s="41" t="e">
        <f>VLOOKUP(((Sheet2!$K$1)*10)+8,Sheet1!$E:$N,7,0)</f>
        <v>#N/A</v>
      </c>
      <c r="W10" s="34" t="e">
        <f>VLOOKUP(((Sheet2!$K$1)*10)+8,Sheet1!$E:$N,8,0)</f>
        <v>#N/A</v>
      </c>
      <c r="X10" s="35" t="s">
        <v>24</v>
      </c>
      <c r="Y10" s="36" t="e">
        <f>VLOOKUP(((Sheet2!$K$1)*10)+8,Sheet1!$E:$N,10,0)</f>
        <v>#N/A</v>
      </c>
      <c r="Z10" s="44" t="e">
        <f>VLOOKUP(((Sheet2!$K$1)*10)+8,Sheet1!$E:$N,9,0)</f>
        <v>#N/A</v>
      </c>
      <c r="AA10" s="44"/>
    </row>
    <row r="11" spans="2:27" ht="16.2" thickBot="1" x14ac:dyDescent="0.35">
      <c r="B11" t="s">
        <v>15</v>
      </c>
      <c r="C11">
        <f t="shared" ca="1" si="0"/>
        <v>0.42501229668352569</v>
      </c>
      <c r="E11">
        <v>19</v>
      </c>
      <c r="F11" t="s">
        <v>15</v>
      </c>
      <c r="G11" s="1"/>
      <c r="H11" t="s">
        <v>4</v>
      </c>
      <c r="K11" t="str">
        <f t="shared" si="1"/>
        <v>West Bromwich</v>
      </c>
      <c r="L11">
        <f t="shared" ca="1" si="2"/>
        <v>0</v>
      </c>
      <c r="M11" t="str">
        <f t="shared" si="3"/>
        <v>Tottenham Hotspur</v>
      </c>
      <c r="N11">
        <f t="shared" ca="1" si="4"/>
        <v>1</v>
      </c>
      <c r="O11" t="str">
        <f t="shared" ca="1" si="5"/>
        <v>Tottenham Hotspur</v>
      </c>
      <c r="P11" t="str">
        <f t="shared" ca="1" si="6"/>
        <v>West Bromwich</v>
      </c>
      <c r="Q11" t="str">
        <f t="shared" ca="1" si="7"/>
        <v>Not Draw</v>
      </c>
      <c r="R11" t="str">
        <f t="shared" ca="1" si="8"/>
        <v>Not Draw</v>
      </c>
      <c r="V11" s="40" t="e">
        <f>VLOOKUP(((Sheet2!$K$1)*10)+9,Sheet1!$E:$N,7,0)</f>
        <v>#N/A</v>
      </c>
      <c r="W11" s="37" t="e">
        <f>VLOOKUP(((Sheet2!$K$1)*10)+9,Sheet1!$E:$N,8,0)</f>
        <v>#N/A</v>
      </c>
      <c r="X11" s="38" t="s">
        <v>24</v>
      </c>
      <c r="Y11" s="39" t="e">
        <f>VLOOKUP(((Sheet2!$K$1)*10)+9,Sheet1!$E:$N,10,0)</f>
        <v>#N/A</v>
      </c>
      <c r="Z11" s="43" t="e">
        <f>VLOOKUP(((Sheet2!$K$1)*10)+9,Sheet1!$E:$N,9,0)</f>
        <v>#N/A</v>
      </c>
      <c r="AA11" s="43"/>
    </row>
    <row r="12" spans="2:27" x14ac:dyDescent="0.3">
      <c r="B12" t="s">
        <v>17</v>
      </c>
      <c r="C12">
        <f t="shared" ca="1" si="0"/>
        <v>0.82668430855758968</v>
      </c>
      <c r="F12">
        <v>2</v>
      </c>
      <c r="K12">
        <f t="shared" si="1"/>
        <v>2</v>
      </c>
      <c r="L12" t="e">
        <f t="shared" ca="1" si="2"/>
        <v>#N/A</v>
      </c>
      <c r="M12">
        <f t="shared" si="3"/>
        <v>0</v>
      </c>
      <c r="N12" t="e">
        <f t="shared" ca="1" si="4"/>
        <v>#N/A</v>
      </c>
      <c r="O12" t="e">
        <f t="shared" ca="1" si="5"/>
        <v>#N/A</v>
      </c>
      <c r="P12" t="e">
        <f t="shared" ca="1" si="6"/>
        <v>#N/A</v>
      </c>
      <c r="Q12" t="e">
        <f t="shared" ca="1" si="7"/>
        <v>#N/A</v>
      </c>
      <c r="R12" t="e">
        <f t="shared" ca="1" si="8"/>
        <v>#N/A</v>
      </c>
    </row>
    <row r="13" spans="2:27" x14ac:dyDescent="0.3">
      <c r="B13" t="s">
        <v>12</v>
      </c>
      <c r="C13">
        <f t="shared" ca="1" si="0"/>
        <v>0.84063879106340744</v>
      </c>
      <c r="E13">
        <v>20</v>
      </c>
      <c r="F13" t="s">
        <v>12</v>
      </c>
      <c r="H13" t="s">
        <v>3</v>
      </c>
      <c r="I13">
        <f t="shared" ref="I13:I22" ca="1" si="9">IF(F13="No Team",-1,RAND())</f>
        <v>0.64795757709749935</v>
      </c>
      <c r="K13" t="str">
        <f t="shared" si="1"/>
        <v>Southampton</v>
      </c>
      <c r="L13">
        <f t="shared" ca="1" si="2"/>
        <v>1</v>
      </c>
      <c r="M13" t="str">
        <f t="shared" si="3"/>
        <v>Arsenal</v>
      </c>
      <c r="N13">
        <f t="shared" ca="1" si="4"/>
        <v>2</v>
      </c>
      <c r="O13" t="str">
        <f t="shared" ca="1" si="5"/>
        <v>Arsenal</v>
      </c>
      <c r="P13" t="str">
        <f t="shared" ca="1" si="6"/>
        <v>Southampton</v>
      </c>
      <c r="Q13" t="str">
        <f t="shared" ca="1" si="7"/>
        <v>Not Draw</v>
      </c>
      <c r="R13" t="str">
        <f t="shared" ca="1" si="8"/>
        <v>Not Draw</v>
      </c>
      <c r="V13" t="s">
        <v>65</v>
      </c>
      <c r="W13">
        <f>Sheet2!$K$1+1</f>
        <v>1</v>
      </c>
    </row>
    <row r="14" spans="2:27" x14ac:dyDescent="0.3">
      <c r="B14" t="s">
        <v>23</v>
      </c>
      <c r="C14">
        <f t="shared" ca="1" si="0"/>
        <v>0.14894993708571325</v>
      </c>
      <c r="E14">
        <v>21</v>
      </c>
      <c r="F14" t="s">
        <v>4</v>
      </c>
      <c r="H14" t="s">
        <v>18</v>
      </c>
      <c r="I14">
        <f t="shared" ca="1" si="9"/>
        <v>0.77950141469692058</v>
      </c>
      <c r="K14" t="str">
        <f t="shared" si="1"/>
        <v>Tottenham Hotspur</v>
      </c>
      <c r="L14">
        <f t="shared" ca="1" si="2"/>
        <v>0</v>
      </c>
      <c r="M14" t="str">
        <f t="shared" si="3"/>
        <v>Leicester City</v>
      </c>
      <c r="N14">
        <f t="shared" ca="1" si="4"/>
        <v>1</v>
      </c>
      <c r="O14" t="str">
        <f t="shared" ca="1" si="5"/>
        <v>Leicester City</v>
      </c>
      <c r="P14" t="str">
        <f t="shared" ca="1" si="6"/>
        <v>Tottenham Hotspur</v>
      </c>
      <c r="Q14" t="str">
        <f t="shared" ca="1" si="7"/>
        <v>Not Draw</v>
      </c>
      <c r="R14" t="str">
        <f t="shared" ca="1" si="8"/>
        <v>Not Draw</v>
      </c>
    </row>
    <row r="15" spans="2:27" x14ac:dyDescent="0.3">
      <c r="B15" t="s">
        <v>11</v>
      </c>
      <c r="C15">
        <f t="shared" ca="1" si="0"/>
        <v>2.2672659084915781E-3</v>
      </c>
      <c r="E15">
        <v>22</v>
      </c>
      <c r="F15" t="s">
        <v>9</v>
      </c>
      <c r="H15" t="s">
        <v>0</v>
      </c>
      <c r="I15">
        <f t="shared" ca="1" si="9"/>
        <v>0.93516472102671133</v>
      </c>
      <c r="K15" t="str">
        <f t="shared" si="1"/>
        <v>Bournemouth</v>
      </c>
      <c r="L15">
        <f t="shared" ca="1" si="2"/>
        <v>4</v>
      </c>
      <c r="M15" t="str">
        <f t="shared" si="3"/>
        <v>Manchester City</v>
      </c>
      <c r="N15">
        <f t="shared" ca="1" si="4"/>
        <v>2</v>
      </c>
      <c r="O15" t="str">
        <f t="shared" ca="1" si="5"/>
        <v>Bournemouth</v>
      </c>
      <c r="P15" t="str">
        <f t="shared" ca="1" si="6"/>
        <v>Manchester City</v>
      </c>
      <c r="Q15" t="str">
        <f t="shared" ca="1" si="7"/>
        <v>Not Draw</v>
      </c>
      <c r="R15" t="str">
        <f t="shared" ca="1" si="8"/>
        <v>Not Draw</v>
      </c>
    </row>
    <row r="16" spans="2:27" x14ac:dyDescent="0.3">
      <c r="B16" t="s">
        <v>9</v>
      </c>
      <c r="C16">
        <f t="shared" ca="1" si="0"/>
        <v>8.9432688032781038E-2</v>
      </c>
      <c r="E16">
        <v>23</v>
      </c>
      <c r="F16" t="s">
        <v>23</v>
      </c>
      <c r="H16" t="s">
        <v>16</v>
      </c>
      <c r="I16">
        <f t="shared" ca="1" si="9"/>
        <v>0.78287583743347222</v>
      </c>
      <c r="K16" t="str">
        <f t="shared" si="1"/>
        <v>Newcastle</v>
      </c>
      <c r="L16">
        <f t="shared" ca="1" si="2"/>
        <v>1</v>
      </c>
      <c r="M16" t="str">
        <f t="shared" si="3"/>
        <v>West Ham United</v>
      </c>
      <c r="N16">
        <f t="shared" ca="1" si="4"/>
        <v>5</v>
      </c>
      <c r="O16" t="str">
        <f t="shared" ca="1" si="5"/>
        <v>West Ham United</v>
      </c>
      <c r="P16" t="str">
        <f t="shared" ca="1" si="6"/>
        <v>Newcastle</v>
      </c>
      <c r="Q16" t="str">
        <f t="shared" ca="1" si="7"/>
        <v>Not Draw</v>
      </c>
      <c r="R16" t="str">
        <f t="shared" ca="1" si="8"/>
        <v>Not Draw</v>
      </c>
    </row>
    <row r="17" spans="2:18" x14ac:dyDescent="0.3">
      <c r="B17" t="s">
        <v>5</v>
      </c>
      <c r="C17">
        <f t="shared" ca="1" si="0"/>
        <v>0.94452918894314331</v>
      </c>
      <c r="E17">
        <v>24</v>
      </c>
      <c r="F17" t="s">
        <v>8</v>
      </c>
      <c r="H17" t="s">
        <v>13</v>
      </c>
      <c r="I17">
        <f t="shared" ca="1" si="9"/>
        <v>0.13917826066389472</v>
      </c>
      <c r="K17" t="str">
        <f t="shared" si="1"/>
        <v>Watford</v>
      </c>
      <c r="L17">
        <f t="shared" ca="1" si="2"/>
        <v>1</v>
      </c>
      <c r="M17" t="str">
        <f t="shared" si="3"/>
        <v>Swansea City</v>
      </c>
      <c r="N17">
        <f t="shared" ca="1" si="4"/>
        <v>0</v>
      </c>
      <c r="O17" t="str">
        <f t="shared" ca="1" si="5"/>
        <v>Watford</v>
      </c>
      <c r="P17" t="str">
        <f t="shared" ca="1" si="6"/>
        <v>Swansea City</v>
      </c>
      <c r="Q17" t="str">
        <f t="shared" ca="1" si="7"/>
        <v>Not Draw</v>
      </c>
      <c r="R17" t="str">
        <f t="shared" ca="1" si="8"/>
        <v>Not Draw</v>
      </c>
    </row>
    <row r="18" spans="2:18" x14ac:dyDescent="0.3">
      <c r="B18" t="s">
        <v>8</v>
      </c>
      <c r="C18">
        <f t="shared" ca="1" si="0"/>
        <v>0.19913170772750077</v>
      </c>
      <c r="E18">
        <v>25</v>
      </c>
      <c r="F18" t="s">
        <v>14</v>
      </c>
      <c r="H18" t="s">
        <v>2</v>
      </c>
      <c r="I18">
        <f t="shared" ca="1" si="9"/>
        <v>3.3654003803028409E-2</v>
      </c>
      <c r="K18" t="str">
        <f t="shared" si="1"/>
        <v>Huddersfield</v>
      </c>
      <c r="L18">
        <f t="shared" ca="1" si="2"/>
        <v>2</v>
      </c>
      <c r="M18" t="str">
        <f t="shared" si="3"/>
        <v>Chelsea</v>
      </c>
      <c r="N18">
        <f t="shared" ca="1" si="4"/>
        <v>1</v>
      </c>
      <c r="O18" t="str">
        <f t="shared" ca="1" si="5"/>
        <v>Huddersfield</v>
      </c>
      <c r="P18" t="str">
        <f t="shared" ca="1" si="6"/>
        <v>Chelsea</v>
      </c>
      <c r="Q18" t="str">
        <f t="shared" ca="1" si="7"/>
        <v>Not Draw</v>
      </c>
      <c r="R18" t="str">
        <f t="shared" ca="1" si="8"/>
        <v>Not Draw</v>
      </c>
    </row>
    <row r="19" spans="2:18" x14ac:dyDescent="0.3">
      <c r="B19" t="s">
        <v>14</v>
      </c>
      <c r="C19">
        <f t="shared" ca="1" si="0"/>
        <v>0.10980650495989974</v>
      </c>
      <c r="E19">
        <v>26</v>
      </c>
      <c r="F19" t="s">
        <v>17</v>
      </c>
      <c r="H19" t="s">
        <v>15</v>
      </c>
      <c r="I19">
        <f t="shared" ca="1" si="9"/>
        <v>0.44885251467576992</v>
      </c>
      <c r="K19" t="str">
        <f t="shared" si="1"/>
        <v>Stoke City</v>
      </c>
      <c r="L19">
        <f t="shared" ca="1" si="2"/>
        <v>2</v>
      </c>
      <c r="M19" t="str">
        <f t="shared" si="3"/>
        <v>West Bromwich</v>
      </c>
      <c r="N19">
        <f t="shared" ca="1" si="4"/>
        <v>0</v>
      </c>
      <c r="O19" t="str">
        <f t="shared" ca="1" si="5"/>
        <v>Stoke City</v>
      </c>
      <c r="P19" t="str">
        <f t="shared" ca="1" si="6"/>
        <v>West Bromwich</v>
      </c>
      <c r="Q19" t="str">
        <f t="shared" ca="1" si="7"/>
        <v>Not Draw</v>
      </c>
      <c r="R19" t="str">
        <f t="shared" ca="1" si="8"/>
        <v>Not Draw</v>
      </c>
    </row>
    <row r="20" spans="2:18" x14ac:dyDescent="0.3">
      <c r="B20" t="s">
        <v>1</v>
      </c>
      <c r="C20">
        <f t="shared" ca="1" si="0"/>
        <v>0.35717148284017197</v>
      </c>
      <c r="E20">
        <v>27</v>
      </c>
      <c r="F20" t="s">
        <v>1</v>
      </c>
      <c r="H20" t="s">
        <v>6</v>
      </c>
      <c r="I20">
        <f t="shared" ca="1" si="9"/>
        <v>0.46044115154177401</v>
      </c>
      <c r="K20" t="str">
        <f t="shared" si="1"/>
        <v>Manchester United</v>
      </c>
      <c r="L20">
        <f t="shared" ca="1" si="2"/>
        <v>0</v>
      </c>
      <c r="M20" t="str">
        <f t="shared" si="3"/>
        <v>Everton</v>
      </c>
      <c r="N20">
        <f t="shared" ca="1" si="4"/>
        <v>0</v>
      </c>
      <c r="O20" t="str">
        <f t="shared" ca="1" si="5"/>
        <v>Draw</v>
      </c>
      <c r="P20" t="str">
        <f t="shared" ca="1" si="6"/>
        <v>Draw</v>
      </c>
      <c r="Q20" t="str">
        <f t="shared" ca="1" si="7"/>
        <v>Manchester United</v>
      </c>
      <c r="R20" t="str">
        <f t="shared" ca="1" si="8"/>
        <v>Everton</v>
      </c>
    </row>
    <row r="21" spans="2:18" x14ac:dyDescent="0.3">
      <c r="B21" t="s">
        <v>4</v>
      </c>
      <c r="C21">
        <f t="shared" ca="1" si="0"/>
        <v>0.90794385584200432</v>
      </c>
      <c r="E21">
        <v>28</v>
      </c>
      <c r="F21" t="s">
        <v>11</v>
      </c>
      <c r="H21" t="s">
        <v>7</v>
      </c>
      <c r="I21">
        <f t="shared" ca="1" si="9"/>
        <v>0.96712558280941507</v>
      </c>
      <c r="K21" t="str">
        <f t="shared" si="1"/>
        <v>Crystal Palace</v>
      </c>
      <c r="L21">
        <f t="shared" ca="1" si="2"/>
        <v>0</v>
      </c>
      <c r="M21" t="str">
        <f t="shared" si="3"/>
        <v>Burnley</v>
      </c>
      <c r="N21">
        <f t="shared" ca="1" si="4"/>
        <v>1</v>
      </c>
      <c r="O21" t="str">
        <f t="shared" ca="1" si="5"/>
        <v>Burnley</v>
      </c>
      <c r="P21" t="str">
        <f t="shared" ca="1" si="6"/>
        <v>Crystal Palace</v>
      </c>
      <c r="Q21" t="str">
        <f t="shared" ca="1" si="7"/>
        <v>Not Draw</v>
      </c>
      <c r="R21" t="str">
        <f t="shared" ca="1" si="8"/>
        <v>Not Draw</v>
      </c>
    </row>
    <row r="22" spans="2:18" x14ac:dyDescent="0.3">
      <c r="C22" t="s">
        <v>25</v>
      </c>
      <c r="E22">
        <v>29</v>
      </c>
      <c r="F22" t="s">
        <v>5</v>
      </c>
      <c r="H22" t="s">
        <v>10</v>
      </c>
      <c r="I22">
        <f t="shared" ca="1" si="9"/>
        <v>3.9767059626650614E-2</v>
      </c>
      <c r="K22" t="str">
        <f t="shared" si="1"/>
        <v>Liverpool</v>
      </c>
      <c r="L22">
        <f t="shared" ca="1" si="2"/>
        <v>2</v>
      </c>
      <c r="M22" t="str">
        <f t="shared" si="3"/>
        <v>Brighton</v>
      </c>
      <c r="N22">
        <f t="shared" ca="1" si="4"/>
        <v>1</v>
      </c>
      <c r="O22" t="str">
        <f t="shared" ca="1" si="5"/>
        <v>Liverpool</v>
      </c>
      <c r="P22" t="str">
        <f t="shared" ca="1" si="6"/>
        <v>Brighton</v>
      </c>
      <c r="Q22" t="str">
        <f t="shared" ca="1" si="7"/>
        <v>Not Draw</v>
      </c>
      <c r="R22" t="str">
        <f t="shared" ca="1" si="8"/>
        <v>Not Draw</v>
      </c>
    </row>
    <row r="23" spans="2:18" x14ac:dyDescent="0.3">
      <c r="B23" t="s">
        <v>3</v>
      </c>
      <c r="C23">
        <v>0.53</v>
      </c>
      <c r="F23">
        <v>3</v>
      </c>
      <c r="K23">
        <f t="shared" si="1"/>
        <v>3</v>
      </c>
      <c r="L23" t="e">
        <f t="shared" ca="1" si="2"/>
        <v>#N/A</v>
      </c>
      <c r="M23">
        <f t="shared" si="3"/>
        <v>0</v>
      </c>
      <c r="N23" t="e">
        <f t="shared" ca="1" si="4"/>
        <v>#N/A</v>
      </c>
      <c r="O23" t="e">
        <f t="shared" ca="1" si="5"/>
        <v>#N/A</v>
      </c>
      <c r="P23" t="e">
        <f t="shared" ca="1" si="6"/>
        <v>#N/A</v>
      </c>
      <c r="Q23" t="e">
        <f t="shared" ca="1" si="7"/>
        <v>#N/A</v>
      </c>
      <c r="R23" t="e">
        <f t="shared" ca="1" si="8"/>
        <v>#N/A</v>
      </c>
    </row>
    <row r="24" spans="2:18" x14ac:dyDescent="0.3">
      <c r="B24" t="s">
        <v>9</v>
      </c>
      <c r="C24">
        <v>0.2</v>
      </c>
      <c r="E24">
        <v>30</v>
      </c>
      <c r="F24" t="s">
        <v>3</v>
      </c>
      <c r="H24" t="s">
        <v>23</v>
      </c>
      <c r="I24">
        <f t="shared" ref="I24:I33" ca="1" si="10">IF(F24="No Team",-1,RAND())</f>
        <v>0.3175738322932341</v>
      </c>
      <c r="K24" t="str">
        <f t="shared" si="1"/>
        <v>Arsenal</v>
      </c>
      <c r="L24">
        <f t="shared" ca="1" si="2"/>
        <v>2</v>
      </c>
      <c r="M24" t="str">
        <f t="shared" si="3"/>
        <v>Newcastle</v>
      </c>
      <c r="N24">
        <f t="shared" ca="1" si="4"/>
        <v>1</v>
      </c>
      <c r="O24" t="str">
        <f t="shared" ca="1" si="5"/>
        <v>Arsenal</v>
      </c>
      <c r="P24" t="str">
        <f t="shared" ca="1" si="6"/>
        <v>Newcastle</v>
      </c>
      <c r="Q24" t="str">
        <f t="shared" ca="1" si="7"/>
        <v>Not Draw</v>
      </c>
      <c r="R24" t="str">
        <f t="shared" ca="1" si="8"/>
        <v>Not Draw</v>
      </c>
    </row>
    <row r="25" spans="2:18" x14ac:dyDescent="0.3">
      <c r="B25" t="s">
        <v>10</v>
      </c>
      <c r="C25">
        <v>0.18</v>
      </c>
      <c r="E25">
        <v>31</v>
      </c>
      <c r="F25" t="s">
        <v>10</v>
      </c>
      <c r="H25" t="s">
        <v>8</v>
      </c>
      <c r="I25">
        <f t="shared" ca="1" si="10"/>
        <v>0.1298411221274397</v>
      </c>
      <c r="K25" t="str">
        <f t="shared" si="1"/>
        <v>Brighton</v>
      </c>
      <c r="L25">
        <f t="shared" ca="1" si="2"/>
        <v>4</v>
      </c>
      <c r="M25" t="str">
        <f t="shared" si="3"/>
        <v>Watford</v>
      </c>
      <c r="N25">
        <f t="shared" ca="1" si="4"/>
        <v>1</v>
      </c>
      <c r="O25" t="str">
        <f t="shared" ca="1" si="5"/>
        <v>Brighton</v>
      </c>
      <c r="P25" t="str">
        <f t="shared" ca="1" si="6"/>
        <v>Watford</v>
      </c>
      <c r="Q25" t="str">
        <f t="shared" ca="1" si="7"/>
        <v>Not Draw</v>
      </c>
      <c r="R25" t="str">
        <f t="shared" ca="1" si="8"/>
        <v>Not Draw</v>
      </c>
    </row>
    <row r="26" spans="2:18" x14ac:dyDescent="0.3">
      <c r="B26" t="s">
        <v>7</v>
      </c>
      <c r="C26">
        <v>0.2</v>
      </c>
      <c r="E26">
        <v>32</v>
      </c>
      <c r="F26" t="s">
        <v>16</v>
      </c>
      <c r="H26" t="s">
        <v>11</v>
      </c>
      <c r="I26">
        <f t="shared" ca="1" si="10"/>
        <v>0.31344633367296482</v>
      </c>
      <c r="K26" t="str">
        <f t="shared" si="1"/>
        <v>West Ham United</v>
      </c>
      <c r="L26">
        <f t="shared" ca="1" si="2"/>
        <v>2</v>
      </c>
      <c r="M26" t="str">
        <f t="shared" si="3"/>
        <v>Crystal Palace</v>
      </c>
      <c r="N26">
        <f t="shared" ca="1" si="4"/>
        <v>1</v>
      </c>
      <c r="O26" t="str">
        <f t="shared" ca="1" si="5"/>
        <v>West Ham United</v>
      </c>
      <c r="P26" t="str">
        <f t="shared" ca="1" si="6"/>
        <v>Crystal Palace</v>
      </c>
      <c r="Q26" t="str">
        <f t="shared" ca="1" si="7"/>
        <v>Not Draw</v>
      </c>
      <c r="R26" t="str">
        <f t="shared" ca="1" si="8"/>
        <v>Not Draw</v>
      </c>
    </row>
    <row r="27" spans="2:18" x14ac:dyDescent="0.3">
      <c r="B27" t="s">
        <v>2</v>
      </c>
      <c r="C27">
        <v>0.56000000000000005</v>
      </c>
      <c r="E27">
        <v>33</v>
      </c>
      <c r="F27" t="s">
        <v>0</v>
      </c>
      <c r="H27" t="s">
        <v>5</v>
      </c>
      <c r="I27">
        <f t="shared" ca="1" si="10"/>
        <v>0.70031245571492329</v>
      </c>
      <c r="K27" t="str">
        <f t="shared" si="1"/>
        <v>Manchester City</v>
      </c>
      <c r="L27">
        <f t="shared" ca="1" si="2"/>
        <v>2</v>
      </c>
      <c r="M27" t="str">
        <f t="shared" si="3"/>
        <v>Liverpool</v>
      </c>
      <c r="N27">
        <f t="shared" ca="1" si="4"/>
        <v>4</v>
      </c>
      <c r="O27" t="str">
        <f t="shared" ca="1" si="5"/>
        <v>Liverpool</v>
      </c>
      <c r="P27" t="str">
        <f t="shared" ca="1" si="6"/>
        <v>Manchester City</v>
      </c>
      <c r="Q27" t="str">
        <f t="shared" ca="1" si="7"/>
        <v>Not Draw</v>
      </c>
      <c r="R27" t="str">
        <f t="shared" ca="1" si="8"/>
        <v>Not Draw</v>
      </c>
    </row>
    <row r="28" spans="2:18" x14ac:dyDescent="0.3">
      <c r="B28" t="s">
        <v>11</v>
      </c>
      <c r="C28">
        <v>0.2</v>
      </c>
      <c r="E28">
        <v>34</v>
      </c>
      <c r="F28" t="s">
        <v>15</v>
      </c>
      <c r="H28" t="s">
        <v>12</v>
      </c>
      <c r="I28">
        <f t="shared" ca="1" si="10"/>
        <v>0.85826236388187871</v>
      </c>
      <c r="K28" t="str">
        <f t="shared" si="1"/>
        <v>West Bromwich</v>
      </c>
      <c r="L28">
        <f t="shared" ca="1" si="2"/>
        <v>0</v>
      </c>
      <c r="M28" t="str">
        <f t="shared" si="3"/>
        <v>Southampton</v>
      </c>
      <c r="N28">
        <f t="shared" ca="1" si="4"/>
        <v>1</v>
      </c>
      <c r="O28" t="str">
        <f t="shared" ca="1" si="5"/>
        <v>Southampton</v>
      </c>
      <c r="P28" t="str">
        <f t="shared" ca="1" si="6"/>
        <v>West Bromwich</v>
      </c>
      <c r="Q28" t="str">
        <f t="shared" ca="1" si="7"/>
        <v>Not Draw</v>
      </c>
      <c r="R28" t="str">
        <f t="shared" ca="1" si="8"/>
        <v>Not Draw</v>
      </c>
    </row>
    <row r="29" spans="2:18" x14ac:dyDescent="0.3">
      <c r="B29" t="s">
        <v>6</v>
      </c>
      <c r="C29">
        <v>0.24</v>
      </c>
      <c r="E29">
        <v>35</v>
      </c>
      <c r="F29" t="s">
        <v>6</v>
      </c>
      <c r="H29" t="s">
        <v>4</v>
      </c>
      <c r="I29">
        <f t="shared" ca="1" si="10"/>
        <v>0.43127881355394504</v>
      </c>
      <c r="K29" t="str">
        <f t="shared" si="1"/>
        <v>Everton</v>
      </c>
      <c r="L29">
        <f t="shared" ca="1" si="2"/>
        <v>1</v>
      </c>
      <c r="M29" t="str">
        <f t="shared" si="3"/>
        <v>Tottenham Hotspur</v>
      </c>
      <c r="N29">
        <f t="shared" ca="1" si="4"/>
        <v>3</v>
      </c>
      <c r="O29" t="str">
        <f t="shared" ca="1" si="5"/>
        <v>Tottenham Hotspur</v>
      </c>
      <c r="P29" t="str">
        <f t="shared" ca="1" si="6"/>
        <v>Everton</v>
      </c>
      <c r="Q29" t="str">
        <f t="shared" ca="1" si="7"/>
        <v>Not Draw</v>
      </c>
      <c r="R29" t="str">
        <f t="shared" ca="1" si="8"/>
        <v>Not Draw</v>
      </c>
    </row>
    <row r="30" spans="2:18" x14ac:dyDescent="0.3">
      <c r="B30" t="s">
        <v>14</v>
      </c>
      <c r="C30">
        <v>0.1</v>
      </c>
      <c r="E30">
        <v>36</v>
      </c>
      <c r="F30" t="s">
        <v>2</v>
      </c>
      <c r="H30" t="s">
        <v>1</v>
      </c>
      <c r="I30">
        <f t="shared" ca="1" si="10"/>
        <v>0.17408131415027839</v>
      </c>
      <c r="K30" t="str">
        <f t="shared" si="1"/>
        <v>Chelsea</v>
      </c>
      <c r="L30">
        <f t="shared" ca="1" si="2"/>
        <v>1</v>
      </c>
      <c r="M30" t="str">
        <f t="shared" si="3"/>
        <v>Manchester United</v>
      </c>
      <c r="N30">
        <f t="shared" ca="1" si="4"/>
        <v>3</v>
      </c>
      <c r="O30" t="str">
        <f t="shared" ca="1" si="5"/>
        <v>Manchester United</v>
      </c>
      <c r="P30" t="str">
        <f t="shared" ca="1" si="6"/>
        <v>Chelsea</v>
      </c>
      <c r="Q30" t="str">
        <f t="shared" ca="1" si="7"/>
        <v>Not Draw</v>
      </c>
      <c r="R30" t="str">
        <f t="shared" ca="1" si="8"/>
        <v>Not Draw</v>
      </c>
    </row>
    <row r="31" spans="2:18" x14ac:dyDescent="0.3">
      <c r="B31" t="s">
        <v>18</v>
      </c>
      <c r="C31">
        <v>0.27</v>
      </c>
      <c r="E31">
        <v>37</v>
      </c>
      <c r="F31" t="s">
        <v>18</v>
      </c>
      <c r="H31" t="s">
        <v>17</v>
      </c>
      <c r="I31">
        <f t="shared" ca="1" si="10"/>
        <v>2.0521359871148115E-2</v>
      </c>
      <c r="K31" t="str">
        <f t="shared" si="1"/>
        <v>Leicester City</v>
      </c>
      <c r="L31">
        <f t="shared" ca="1" si="2"/>
        <v>2</v>
      </c>
      <c r="M31" t="str">
        <f t="shared" si="3"/>
        <v>Stoke City</v>
      </c>
      <c r="N31">
        <f t="shared" ca="1" si="4"/>
        <v>2</v>
      </c>
      <c r="O31" t="str">
        <f t="shared" ca="1" si="5"/>
        <v>Draw</v>
      </c>
      <c r="P31" t="str">
        <f t="shared" ca="1" si="6"/>
        <v>Draw</v>
      </c>
      <c r="Q31" t="str">
        <f t="shared" ca="1" si="7"/>
        <v>Leicester City</v>
      </c>
      <c r="R31" t="str">
        <f t="shared" ca="1" si="8"/>
        <v>Stoke City</v>
      </c>
    </row>
    <row r="32" spans="2:18" x14ac:dyDescent="0.3">
      <c r="B32" t="s">
        <v>5</v>
      </c>
      <c r="C32">
        <v>0.46</v>
      </c>
      <c r="E32">
        <v>38</v>
      </c>
      <c r="F32" t="s">
        <v>7</v>
      </c>
      <c r="H32" t="s">
        <v>9</v>
      </c>
      <c r="I32">
        <f t="shared" ca="1" si="10"/>
        <v>0.507032466922684</v>
      </c>
      <c r="K32" t="str">
        <f t="shared" si="1"/>
        <v>Burnley</v>
      </c>
      <c r="L32">
        <f t="shared" ca="1" si="2"/>
        <v>1</v>
      </c>
      <c r="M32" t="str">
        <f t="shared" si="3"/>
        <v>Bournemouth</v>
      </c>
      <c r="N32">
        <f t="shared" ca="1" si="4"/>
        <v>1</v>
      </c>
      <c r="O32" t="str">
        <f t="shared" ca="1" si="5"/>
        <v>Draw</v>
      </c>
      <c r="P32" t="str">
        <f t="shared" ca="1" si="6"/>
        <v>Draw</v>
      </c>
      <c r="Q32" t="str">
        <f t="shared" ca="1" si="7"/>
        <v>Burnley</v>
      </c>
      <c r="R32" t="str">
        <f t="shared" ca="1" si="8"/>
        <v>Bournemouth</v>
      </c>
    </row>
    <row r="33" spans="2:18" x14ac:dyDescent="0.3">
      <c r="B33" t="s">
        <v>0</v>
      </c>
      <c r="C33">
        <v>0.65</v>
      </c>
      <c r="E33">
        <v>39</v>
      </c>
      <c r="F33" t="s">
        <v>13</v>
      </c>
      <c r="H33" t="s">
        <v>14</v>
      </c>
      <c r="I33">
        <f t="shared" ca="1" si="10"/>
        <v>0.54753137277468211</v>
      </c>
      <c r="K33" t="str">
        <f t="shared" si="1"/>
        <v>Swansea City</v>
      </c>
      <c r="L33">
        <f t="shared" ca="1" si="2"/>
        <v>5</v>
      </c>
      <c r="M33" t="str">
        <f t="shared" si="3"/>
        <v>Huddersfield</v>
      </c>
      <c r="N33">
        <f t="shared" ca="1" si="4"/>
        <v>2</v>
      </c>
      <c r="O33" t="str">
        <f t="shared" ca="1" si="5"/>
        <v>Swansea City</v>
      </c>
      <c r="P33" t="str">
        <f t="shared" ca="1" si="6"/>
        <v>Huddersfield</v>
      </c>
      <c r="Q33" t="str">
        <f t="shared" ca="1" si="7"/>
        <v>Not Draw</v>
      </c>
      <c r="R33" t="str">
        <f t="shared" ca="1" si="8"/>
        <v>Not Draw</v>
      </c>
    </row>
    <row r="34" spans="2:18" x14ac:dyDescent="0.3">
      <c r="B34" t="s">
        <v>1</v>
      </c>
      <c r="C34">
        <v>0.6</v>
      </c>
      <c r="F34">
        <v>4</v>
      </c>
      <c r="K34">
        <f t="shared" si="1"/>
        <v>4</v>
      </c>
      <c r="L34" t="e">
        <f t="shared" ca="1" si="2"/>
        <v>#N/A</v>
      </c>
      <c r="M34">
        <f t="shared" si="3"/>
        <v>0</v>
      </c>
      <c r="N34" t="e">
        <f t="shared" ca="1" si="4"/>
        <v>#N/A</v>
      </c>
      <c r="O34" t="e">
        <f t="shared" ca="1" si="5"/>
        <v>#N/A</v>
      </c>
      <c r="P34" t="e">
        <f t="shared" ca="1" si="6"/>
        <v>#N/A</v>
      </c>
      <c r="Q34" t="e">
        <f t="shared" ca="1" si="7"/>
        <v>#N/A</v>
      </c>
      <c r="R34" t="e">
        <f t="shared" ca="1" si="8"/>
        <v>#N/A</v>
      </c>
    </row>
    <row r="35" spans="2:18" x14ac:dyDescent="0.3">
      <c r="B35" t="s">
        <v>23</v>
      </c>
      <c r="C35">
        <v>0.15</v>
      </c>
      <c r="E35">
        <v>40</v>
      </c>
      <c r="F35" t="s">
        <v>17</v>
      </c>
      <c r="H35" t="s">
        <v>6</v>
      </c>
      <c r="I35">
        <f t="shared" ref="I35:I44" ca="1" si="11">IF(F35="No Team",-1,RAND())</f>
        <v>0.54729224929650788</v>
      </c>
      <c r="K35" t="str">
        <f t="shared" si="1"/>
        <v>Stoke City</v>
      </c>
      <c r="L35">
        <f t="shared" ca="1" si="2"/>
        <v>0</v>
      </c>
      <c r="M35" t="str">
        <f t="shared" si="3"/>
        <v>Everton</v>
      </c>
      <c r="N35">
        <f t="shared" ca="1" si="4"/>
        <v>2</v>
      </c>
      <c r="O35" t="str">
        <f t="shared" ca="1" si="5"/>
        <v>Everton</v>
      </c>
      <c r="P35" t="str">
        <f t="shared" ca="1" si="6"/>
        <v>Stoke City</v>
      </c>
      <c r="Q35" t="str">
        <f t="shared" ca="1" si="7"/>
        <v>Not Draw</v>
      </c>
      <c r="R35" t="str">
        <f t="shared" ca="1" si="8"/>
        <v>Not Draw</v>
      </c>
    </row>
    <row r="36" spans="2:18" x14ac:dyDescent="0.3">
      <c r="B36" t="s">
        <v>12</v>
      </c>
      <c r="C36">
        <v>0.19</v>
      </c>
      <c r="E36">
        <v>41</v>
      </c>
      <c r="F36" t="s">
        <v>23</v>
      </c>
      <c r="H36" t="s">
        <v>15</v>
      </c>
      <c r="I36">
        <f t="shared" ca="1" si="11"/>
        <v>0.969204180267207</v>
      </c>
      <c r="K36" t="str">
        <f t="shared" si="1"/>
        <v>Newcastle</v>
      </c>
      <c r="L36">
        <f t="shared" ca="1" si="2"/>
        <v>5</v>
      </c>
      <c r="M36" t="str">
        <f t="shared" si="3"/>
        <v>West Bromwich</v>
      </c>
      <c r="N36">
        <f t="shared" ca="1" si="4"/>
        <v>2</v>
      </c>
      <c r="O36" t="str">
        <f t="shared" ca="1" si="5"/>
        <v>Newcastle</v>
      </c>
      <c r="P36" t="str">
        <f t="shared" ca="1" si="6"/>
        <v>West Bromwich</v>
      </c>
      <c r="Q36" t="str">
        <f t="shared" ca="1" si="7"/>
        <v>Not Draw</v>
      </c>
      <c r="R36" t="str">
        <f t="shared" ca="1" si="8"/>
        <v>Not Draw</v>
      </c>
    </row>
    <row r="37" spans="2:18" x14ac:dyDescent="0.3">
      <c r="B37" t="s">
        <v>17</v>
      </c>
      <c r="C37">
        <v>0.13</v>
      </c>
      <c r="E37">
        <v>42</v>
      </c>
      <c r="F37" t="s">
        <v>14</v>
      </c>
      <c r="H37" t="s">
        <v>10</v>
      </c>
      <c r="I37">
        <f t="shared" ca="1" si="11"/>
        <v>0.35732319017191438</v>
      </c>
      <c r="K37" t="str">
        <f t="shared" si="1"/>
        <v>Huddersfield</v>
      </c>
      <c r="L37">
        <f t="shared" ca="1" si="2"/>
        <v>1</v>
      </c>
      <c r="M37" t="str">
        <f t="shared" si="3"/>
        <v>Brighton</v>
      </c>
      <c r="N37">
        <f t="shared" ca="1" si="4"/>
        <v>1</v>
      </c>
      <c r="O37" t="str">
        <f t="shared" ca="1" si="5"/>
        <v>Draw</v>
      </c>
      <c r="P37" t="str">
        <f t="shared" ca="1" si="6"/>
        <v>Draw</v>
      </c>
      <c r="Q37" t="str">
        <f t="shared" ca="1" si="7"/>
        <v>Huddersfield</v>
      </c>
      <c r="R37" t="str">
        <f t="shared" ca="1" si="8"/>
        <v>Brighton</v>
      </c>
    </row>
    <row r="38" spans="2:18" x14ac:dyDescent="0.3">
      <c r="B38" t="s">
        <v>13</v>
      </c>
      <c r="C38">
        <v>0.18</v>
      </c>
      <c r="E38">
        <v>43</v>
      </c>
      <c r="F38" t="s">
        <v>4</v>
      </c>
      <c r="H38" t="s">
        <v>2</v>
      </c>
      <c r="I38">
        <f t="shared" ca="1" si="11"/>
        <v>0.71487186928881119</v>
      </c>
      <c r="K38" t="str">
        <f t="shared" si="1"/>
        <v>Tottenham Hotspur</v>
      </c>
      <c r="L38">
        <f t="shared" ca="1" si="2"/>
        <v>0</v>
      </c>
      <c r="M38" t="str">
        <f t="shared" si="3"/>
        <v>Chelsea</v>
      </c>
      <c r="N38">
        <f t="shared" ca="1" si="4"/>
        <v>2</v>
      </c>
      <c r="O38" t="str">
        <f t="shared" ca="1" si="5"/>
        <v>Chelsea</v>
      </c>
      <c r="P38" t="str">
        <f t="shared" ca="1" si="6"/>
        <v>Tottenham Hotspur</v>
      </c>
      <c r="Q38" t="str">
        <f t="shared" ca="1" si="7"/>
        <v>Not Draw</v>
      </c>
      <c r="R38" t="str">
        <f t="shared" ca="1" si="8"/>
        <v>Not Draw</v>
      </c>
    </row>
    <row r="39" spans="2:18" x14ac:dyDescent="0.3">
      <c r="B39" t="s">
        <v>4</v>
      </c>
      <c r="C39">
        <v>0.56000000000000005</v>
      </c>
      <c r="E39">
        <v>44</v>
      </c>
      <c r="F39" t="s">
        <v>12</v>
      </c>
      <c r="H39" t="s">
        <v>18</v>
      </c>
      <c r="I39">
        <f t="shared" ca="1" si="11"/>
        <v>0.83468726924647341</v>
      </c>
      <c r="K39" t="str">
        <f t="shared" si="1"/>
        <v>Southampton</v>
      </c>
      <c r="L39">
        <f t="shared" ca="1" si="2"/>
        <v>2</v>
      </c>
      <c r="M39" t="str">
        <f t="shared" si="3"/>
        <v>Leicester City</v>
      </c>
      <c r="N39">
        <f t="shared" ca="1" si="4"/>
        <v>0</v>
      </c>
      <c r="O39" t="str">
        <f t="shared" ca="1" si="5"/>
        <v>Southampton</v>
      </c>
      <c r="P39" t="str">
        <f t="shared" ca="1" si="6"/>
        <v>Leicester City</v>
      </c>
      <c r="Q39" t="str">
        <f t="shared" ca="1" si="7"/>
        <v>Not Draw</v>
      </c>
      <c r="R39" t="str">
        <f t="shared" ca="1" si="8"/>
        <v>Not Draw</v>
      </c>
    </row>
    <row r="40" spans="2:18" x14ac:dyDescent="0.3">
      <c r="B40" t="s">
        <v>8</v>
      </c>
      <c r="C40">
        <v>0.17</v>
      </c>
      <c r="E40">
        <v>45</v>
      </c>
      <c r="F40" t="s">
        <v>9</v>
      </c>
      <c r="H40" t="s">
        <v>16</v>
      </c>
      <c r="I40">
        <f t="shared" ca="1" si="11"/>
        <v>0.49034316424408342</v>
      </c>
      <c r="K40" t="str">
        <f t="shared" si="1"/>
        <v>Bournemouth</v>
      </c>
      <c r="L40">
        <f t="shared" ca="1" si="2"/>
        <v>0</v>
      </c>
      <c r="M40" t="str">
        <f t="shared" si="3"/>
        <v>West Ham United</v>
      </c>
      <c r="N40">
        <f t="shared" ca="1" si="4"/>
        <v>1</v>
      </c>
      <c r="O40" t="str">
        <f t="shared" ca="1" si="5"/>
        <v>West Ham United</v>
      </c>
      <c r="P40" t="str">
        <f t="shared" ca="1" si="6"/>
        <v>Bournemouth</v>
      </c>
      <c r="Q40" t="str">
        <f t="shared" ca="1" si="7"/>
        <v>Not Draw</v>
      </c>
      <c r="R40" t="str">
        <f t="shared" ca="1" si="8"/>
        <v>Not Draw</v>
      </c>
    </row>
    <row r="41" spans="2:18" x14ac:dyDescent="0.3">
      <c r="B41" t="s">
        <v>15</v>
      </c>
      <c r="C41">
        <v>0.1</v>
      </c>
      <c r="E41">
        <v>46</v>
      </c>
      <c r="F41" t="s">
        <v>8</v>
      </c>
      <c r="H41" t="s">
        <v>0</v>
      </c>
      <c r="I41">
        <f t="shared" ca="1" si="11"/>
        <v>0.77194298697102115</v>
      </c>
      <c r="K41" t="str">
        <f t="shared" si="1"/>
        <v>Watford</v>
      </c>
      <c r="L41">
        <f t="shared" ca="1" si="2"/>
        <v>2</v>
      </c>
      <c r="M41" t="str">
        <f t="shared" si="3"/>
        <v>Manchester City</v>
      </c>
      <c r="N41">
        <f t="shared" ca="1" si="4"/>
        <v>0</v>
      </c>
      <c r="O41" t="str">
        <f t="shared" ca="1" si="5"/>
        <v>Watford</v>
      </c>
      <c r="P41" t="str">
        <f t="shared" ca="1" si="6"/>
        <v>Manchester City</v>
      </c>
      <c r="Q41" t="str">
        <f t="shared" ca="1" si="7"/>
        <v>Not Draw</v>
      </c>
      <c r="R41" t="str">
        <f t="shared" ca="1" si="8"/>
        <v>Not Draw</v>
      </c>
    </row>
    <row r="42" spans="2:18" x14ac:dyDescent="0.3">
      <c r="B42" t="s">
        <v>16</v>
      </c>
      <c r="C42">
        <v>0.2</v>
      </c>
      <c r="E42">
        <v>47</v>
      </c>
      <c r="F42" t="s">
        <v>5</v>
      </c>
      <c r="H42" t="s">
        <v>7</v>
      </c>
      <c r="I42">
        <f t="shared" ca="1" si="11"/>
        <v>0.98575561608657325</v>
      </c>
      <c r="K42" t="str">
        <f t="shared" si="1"/>
        <v>Liverpool</v>
      </c>
      <c r="L42">
        <f t="shared" ca="1" si="2"/>
        <v>2</v>
      </c>
      <c r="M42" t="str">
        <f t="shared" si="3"/>
        <v>Burnley</v>
      </c>
      <c r="N42">
        <f t="shared" ca="1" si="4"/>
        <v>1</v>
      </c>
      <c r="O42" t="str">
        <f t="shared" ca="1" si="5"/>
        <v>Liverpool</v>
      </c>
      <c r="P42" t="str">
        <f t="shared" ca="1" si="6"/>
        <v>Burnley</v>
      </c>
      <c r="Q42" t="str">
        <f t="shared" ca="1" si="7"/>
        <v>Not Draw</v>
      </c>
      <c r="R42" t="str">
        <f t="shared" ca="1" si="8"/>
        <v>Not Draw</v>
      </c>
    </row>
    <row r="43" spans="2:18" x14ac:dyDescent="0.3">
      <c r="E43">
        <v>48</v>
      </c>
      <c r="F43" t="s">
        <v>11</v>
      </c>
      <c r="H43" t="s">
        <v>3</v>
      </c>
      <c r="I43">
        <f t="shared" ca="1" si="11"/>
        <v>0.44321830264878403</v>
      </c>
      <c r="K43" t="str">
        <f t="shared" si="1"/>
        <v>Crystal Palace</v>
      </c>
      <c r="L43">
        <f t="shared" ca="1" si="2"/>
        <v>6</v>
      </c>
      <c r="M43" t="str">
        <f t="shared" si="3"/>
        <v>Arsenal</v>
      </c>
      <c r="N43">
        <f t="shared" ca="1" si="4"/>
        <v>1</v>
      </c>
      <c r="O43" t="str">
        <f t="shared" ca="1" si="5"/>
        <v>Crystal Palace</v>
      </c>
      <c r="P43" t="str">
        <f t="shared" ca="1" si="6"/>
        <v>Arsenal</v>
      </c>
      <c r="Q43" t="str">
        <f t="shared" ca="1" si="7"/>
        <v>Not Draw</v>
      </c>
      <c r="R43" t="str">
        <f t="shared" ca="1" si="8"/>
        <v>Not Draw</v>
      </c>
    </row>
    <row r="44" spans="2:18" x14ac:dyDescent="0.3">
      <c r="E44">
        <v>49</v>
      </c>
      <c r="F44" t="s">
        <v>1</v>
      </c>
      <c r="H44" t="s">
        <v>13</v>
      </c>
      <c r="I44">
        <f t="shared" ca="1" si="11"/>
        <v>0.14404263330978107</v>
      </c>
      <c r="K44" t="str">
        <f t="shared" si="1"/>
        <v>Manchester United</v>
      </c>
      <c r="L44">
        <f t="shared" ca="1" si="2"/>
        <v>1</v>
      </c>
      <c r="M44" t="str">
        <f t="shared" si="3"/>
        <v>Swansea City</v>
      </c>
      <c r="N44">
        <f t="shared" ca="1" si="4"/>
        <v>0</v>
      </c>
      <c r="O44" t="str">
        <f t="shared" ca="1" si="5"/>
        <v>Manchester United</v>
      </c>
      <c r="P44" t="str">
        <f t="shared" ca="1" si="6"/>
        <v>Swansea City</v>
      </c>
      <c r="Q44" t="str">
        <f t="shared" ca="1" si="7"/>
        <v>Not Draw</v>
      </c>
      <c r="R44" t="str">
        <f t="shared" ca="1" si="8"/>
        <v>Not Draw</v>
      </c>
    </row>
    <row r="45" spans="2:18" x14ac:dyDescent="0.3">
      <c r="F45">
        <v>5</v>
      </c>
      <c r="K45">
        <f t="shared" si="1"/>
        <v>5</v>
      </c>
      <c r="L45" t="e">
        <f t="shared" ca="1" si="2"/>
        <v>#N/A</v>
      </c>
      <c r="M45">
        <f t="shared" si="3"/>
        <v>0</v>
      </c>
      <c r="N45" t="e">
        <f t="shared" ca="1" si="4"/>
        <v>#N/A</v>
      </c>
      <c r="O45" t="e">
        <f t="shared" ca="1" si="5"/>
        <v>#N/A</v>
      </c>
      <c r="P45" t="e">
        <f t="shared" ca="1" si="6"/>
        <v>#N/A</v>
      </c>
      <c r="Q45" t="e">
        <f t="shared" ca="1" si="7"/>
        <v>#N/A</v>
      </c>
      <c r="R45" t="e">
        <f t="shared" ca="1" si="8"/>
        <v>#N/A</v>
      </c>
    </row>
    <row r="46" spans="2:18" x14ac:dyDescent="0.3">
      <c r="E46">
        <v>50</v>
      </c>
      <c r="F46" t="s">
        <v>10</v>
      </c>
      <c r="H46" t="s">
        <v>1</v>
      </c>
      <c r="I46">
        <f t="shared" ref="I46:I55" ca="1" si="12">IF(F46="No Team",-1,RAND())</f>
        <v>0.82217448516737912</v>
      </c>
      <c r="K46" t="str">
        <f t="shared" si="1"/>
        <v>Brighton</v>
      </c>
      <c r="L46">
        <f t="shared" ca="1" si="2"/>
        <v>2</v>
      </c>
      <c r="M46" t="str">
        <f t="shared" si="3"/>
        <v>Manchester United</v>
      </c>
      <c r="N46">
        <f t="shared" ca="1" si="4"/>
        <v>6</v>
      </c>
      <c r="O46" t="str">
        <f t="shared" ca="1" si="5"/>
        <v>Manchester United</v>
      </c>
      <c r="P46" t="str">
        <f t="shared" ca="1" si="6"/>
        <v>Brighton</v>
      </c>
      <c r="Q46" t="str">
        <f t="shared" ca="1" si="7"/>
        <v>Not Draw</v>
      </c>
      <c r="R46" t="str">
        <f t="shared" ca="1" si="8"/>
        <v>Not Draw</v>
      </c>
    </row>
    <row r="47" spans="2:18" x14ac:dyDescent="0.3">
      <c r="E47">
        <v>51</v>
      </c>
      <c r="F47" t="s">
        <v>7</v>
      </c>
      <c r="H47" t="s">
        <v>8</v>
      </c>
      <c r="I47">
        <f t="shared" ca="1" si="12"/>
        <v>0.59519694871778095</v>
      </c>
      <c r="K47" t="str">
        <f t="shared" si="1"/>
        <v>Burnley</v>
      </c>
      <c r="L47">
        <f t="shared" ca="1" si="2"/>
        <v>1</v>
      </c>
      <c r="M47" t="str">
        <f t="shared" si="3"/>
        <v>Watford</v>
      </c>
      <c r="N47">
        <f t="shared" ca="1" si="4"/>
        <v>1</v>
      </c>
      <c r="O47" t="str">
        <f t="shared" ca="1" si="5"/>
        <v>Draw</v>
      </c>
      <c r="P47" t="str">
        <f t="shared" ca="1" si="6"/>
        <v>Draw</v>
      </c>
      <c r="Q47" t="str">
        <f t="shared" ca="1" si="7"/>
        <v>Burnley</v>
      </c>
      <c r="R47" t="str">
        <f t="shared" ca="1" si="8"/>
        <v>Watford</v>
      </c>
    </row>
    <row r="48" spans="2:18" x14ac:dyDescent="0.3">
      <c r="E48">
        <v>52</v>
      </c>
      <c r="F48" t="s">
        <v>16</v>
      </c>
      <c r="H48" t="s">
        <v>5</v>
      </c>
      <c r="I48">
        <f t="shared" ca="1" si="12"/>
        <v>0.43993630802038897</v>
      </c>
      <c r="K48" t="str">
        <f t="shared" si="1"/>
        <v>West Ham United</v>
      </c>
      <c r="L48">
        <f t="shared" ca="1" si="2"/>
        <v>0</v>
      </c>
      <c r="M48" t="str">
        <f t="shared" si="3"/>
        <v>Liverpool</v>
      </c>
      <c r="N48">
        <f t="shared" ca="1" si="4"/>
        <v>3</v>
      </c>
      <c r="O48" t="str">
        <f t="shared" ca="1" si="5"/>
        <v>Liverpool</v>
      </c>
      <c r="P48" t="str">
        <f t="shared" ca="1" si="6"/>
        <v>West Ham United</v>
      </c>
      <c r="Q48" t="str">
        <f t="shared" ca="1" si="7"/>
        <v>Not Draw</v>
      </c>
      <c r="R48" t="str">
        <f t="shared" ca="1" si="8"/>
        <v>Not Draw</v>
      </c>
    </row>
    <row r="49" spans="5:18" x14ac:dyDescent="0.3">
      <c r="E49">
        <v>53</v>
      </c>
      <c r="F49" t="s">
        <v>6</v>
      </c>
      <c r="H49" t="s">
        <v>12</v>
      </c>
      <c r="I49">
        <f t="shared" ca="1" si="12"/>
        <v>0.32352076725497947</v>
      </c>
      <c r="K49" t="str">
        <f t="shared" si="1"/>
        <v>Everton</v>
      </c>
      <c r="L49">
        <f t="shared" ca="1" si="2"/>
        <v>0</v>
      </c>
      <c r="M49" t="str">
        <f t="shared" si="3"/>
        <v>Southampton</v>
      </c>
      <c r="N49">
        <f t="shared" ca="1" si="4"/>
        <v>1</v>
      </c>
      <c r="O49" t="str">
        <f t="shared" ca="1" si="5"/>
        <v>Southampton</v>
      </c>
      <c r="P49" t="str">
        <f t="shared" ca="1" si="6"/>
        <v>Everton</v>
      </c>
      <c r="Q49" t="str">
        <f t="shared" ca="1" si="7"/>
        <v>Not Draw</v>
      </c>
      <c r="R49" t="str">
        <f t="shared" ca="1" si="8"/>
        <v>Not Draw</v>
      </c>
    </row>
    <row r="50" spans="5:18" x14ac:dyDescent="0.3">
      <c r="E50">
        <v>54</v>
      </c>
      <c r="F50" t="s">
        <v>13</v>
      </c>
      <c r="H50" t="s">
        <v>4</v>
      </c>
      <c r="I50">
        <f t="shared" ca="1" si="12"/>
        <v>0.39657305702971202</v>
      </c>
      <c r="K50" t="str">
        <f t="shared" si="1"/>
        <v>Swansea City</v>
      </c>
      <c r="L50">
        <f t="shared" ca="1" si="2"/>
        <v>0</v>
      </c>
      <c r="M50" t="str">
        <f t="shared" si="3"/>
        <v>Tottenham Hotspur</v>
      </c>
      <c r="N50">
        <f t="shared" ca="1" si="4"/>
        <v>2</v>
      </c>
      <c r="O50" t="str">
        <f t="shared" ca="1" si="5"/>
        <v>Tottenham Hotspur</v>
      </c>
      <c r="P50" t="str">
        <f t="shared" ca="1" si="6"/>
        <v>Swansea City</v>
      </c>
      <c r="Q50" t="str">
        <f t="shared" ca="1" si="7"/>
        <v>Not Draw</v>
      </c>
      <c r="R50" t="str">
        <f t="shared" ca="1" si="8"/>
        <v>Not Draw</v>
      </c>
    </row>
    <row r="51" spans="5:18" x14ac:dyDescent="0.3">
      <c r="E51">
        <v>55</v>
      </c>
      <c r="F51" t="s">
        <v>3</v>
      </c>
      <c r="H51" t="s">
        <v>9</v>
      </c>
      <c r="I51">
        <f t="shared" ca="1" si="12"/>
        <v>0.20540081485657258</v>
      </c>
      <c r="K51" t="str">
        <f t="shared" si="1"/>
        <v>Arsenal</v>
      </c>
      <c r="L51">
        <f t="shared" ca="1" si="2"/>
        <v>1</v>
      </c>
      <c r="M51" t="str">
        <f t="shared" si="3"/>
        <v>Bournemouth</v>
      </c>
      <c r="N51">
        <f t="shared" ca="1" si="4"/>
        <v>2</v>
      </c>
      <c r="O51" t="str">
        <f t="shared" ca="1" si="5"/>
        <v>Bournemouth</v>
      </c>
      <c r="P51" t="str">
        <f t="shared" ca="1" si="6"/>
        <v>Arsenal</v>
      </c>
      <c r="Q51" t="str">
        <f t="shared" ca="1" si="7"/>
        <v>Not Draw</v>
      </c>
      <c r="R51" t="str">
        <f t="shared" ca="1" si="8"/>
        <v>Not Draw</v>
      </c>
    </row>
    <row r="52" spans="5:18" x14ac:dyDescent="0.3">
      <c r="E52">
        <v>56</v>
      </c>
      <c r="F52" t="s">
        <v>18</v>
      </c>
      <c r="H52" t="s">
        <v>23</v>
      </c>
      <c r="I52">
        <f t="shared" ca="1" si="12"/>
        <v>0.57113680643123199</v>
      </c>
      <c r="K52" t="str">
        <f t="shared" si="1"/>
        <v>Leicester City</v>
      </c>
      <c r="L52">
        <f t="shared" ca="1" si="2"/>
        <v>2</v>
      </c>
      <c r="M52" t="str">
        <f t="shared" si="3"/>
        <v>Newcastle</v>
      </c>
      <c r="N52">
        <f t="shared" ca="1" si="4"/>
        <v>2</v>
      </c>
      <c r="O52" t="str">
        <f t="shared" ca="1" si="5"/>
        <v>Draw</v>
      </c>
      <c r="P52" t="str">
        <f t="shared" ca="1" si="6"/>
        <v>Draw</v>
      </c>
      <c r="Q52" t="str">
        <f t="shared" ca="1" si="7"/>
        <v>Leicester City</v>
      </c>
      <c r="R52" t="str">
        <f t="shared" ca="1" si="8"/>
        <v>Newcastle</v>
      </c>
    </row>
    <row r="53" spans="5:18" x14ac:dyDescent="0.3">
      <c r="E53">
        <v>57</v>
      </c>
      <c r="F53" t="s">
        <v>2</v>
      </c>
      <c r="H53" t="s">
        <v>17</v>
      </c>
      <c r="I53">
        <f t="shared" ca="1" si="12"/>
        <v>0.63093938152934936</v>
      </c>
      <c r="K53" t="str">
        <f t="shared" si="1"/>
        <v>Chelsea</v>
      </c>
      <c r="L53">
        <f t="shared" ca="1" si="2"/>
        <v>1</v>
      </c>
      <c r="M53" t="str">
        <f t="shared" si="3"/>
        <v>Stoke City</v>
      </c>
      <c r="N53">
        <f t="shared" ca="1" si="4"/>
        <v>0</v>
      </c>
      <c r="O53" t="str">
        <f t="shared" ca="1" si="5"/>
        <v>Chelsea</v>
      </c>
      <c r="P53" t="str">
        <f t="shared" ca="1" si="6"/>
        <v>Stoke City</v>
      </c>
      <c r="Q53" t="str">
        <f t="shared" ca="1" si="7"/>
        <v>Not Draw</v>
      </c>
      <c r="R53" t="str">
        <f t="shared" ca="1" si="8"/>
        <v>Not Draw</v>
      </c>
    </row>
    <row r="54" spans="5:18" x14ac:dyDescent="0.3">
      <c r="E54">
        <v>58</v>
      </c>
      <c r="F54" t="s">
        <v>0</v>
      </c>
      <c r="H54" t="s">
        <v>14</v>
      </c>
      <c r="I54">
        <f t="shared" ca="1" si="12"/>
        <v>0.98449994775073946</v>
      </c>
      <c r="K54" t="str">
        <f t="shared" si="1"/>
        <v>Manchester City</v>
      </c>
      <c r="L54">
        <f t="shared" ca="1" si="2"/>
        <v>2</v>
      </c>
      <c r="M54" t="str">
        <f t="shared" si="3"/>
        <v>Huddersfield</v>
      </c>
      <c r="N54">
        <f t="shared" ca="1" si="4"/>
        <v>3</v>
      </c>
      <c r="O54" t="str">
        <f t="shared" ca="1" si="5"/>
        <v>Huddersfield</v>
      </c>
      <c r="P54" t="str">
        <f t="shared" ca="1" si="6"/>
        <v>Manchester City</v>
      </c>
      <c r="Q54" t="str">
        <f t="shared" ca="1" si="7"/>
        <v>Not Draw</v>
      </c>
      <c r="R54" t="str">
        <f t="shared" ca="1" si="8"/>
        <v>Not Draw</v>
      </c>
    </row>
    <row r="55" spans="5:18" x14ac:dyDescent="0.3">
      <c r="E55">
        <v>59</v>
      </c>
      <c r="F55" t="s">
        <v>15</v>
      </c>
      <c r="H55" t="s">
        <v>11</v>
      </c>
      <c r="I55">
        <f t="shared" ca="1" si="12"/>
        <v>0.79555136521937808</v>
      </c>
      <c r="K55" t="str">
        <f t="shared" si="1"/>
        <v>West Bromwich</v>
      </c>
      <c r="L55">
        <f t="shared" ca="1" si="2"/>
        <v>2</v>
      </c>
      <c r="M55" t="str">
        <f t="shared" si="3"/>
        <v>Crystal Palace</v>
      </c>
      <c r="N55">
        <f t="shared" ca="1" si="4"/>
        <v>1</v>
      </c>
      <c r="O55" t="str">
        <f t="shared" ca="1" si="5"/>
        <v>West Bromwich</v>
      </c>
      <c r="P55" t="str">
        <f t="shared" ca="1" si="6"/>
        <v>Crystal Palace</v>
      </c>
      <c r="Q55" t="str">
        <f t="shared" ca="1" si="7"/>
        <v>Not Draw</v>
      </c>
      <c r="R55" t="str">
        <f t="shared" ca="1" si="8"/>
        <v>Not Draw</v>
      </c>
    </row>
    <row r="56" spans="5:18" x14ac:dyDescent="0.3">
      <c r="F56">
        <v>6</v>
      </c>
      <c r="K56">
        <f t="shared" si="1"/>
        <v>6</v>
      </c>
      <c r="L56" t="e">
        <f t="shared" ca="1" si="2"/>
        <v>#N/A</v>
      </c>
      <c r="M56">
        <f t="shared" si="3"/>
        <v>0</v>
      </c>
      <c r="N56" t="e">
        <f t="shared" ca="1" si="4"/>
        <v>#N/A</v>
      </c>
      <c r="O56" t="e">
        <f t="shared" ca="1" si="5"/>
        <v>#N/A</v>
      </c>
      <c r="P56" t="e">
        <f t="shared" ca="1" si="6"/>
        <v>#N/A</v>
      </c>
      <c r="Q56" t="e">
        <f t="shared" ca="1" si="7"/>
        <v>#N/A</v>
      </c>
      <c r="R56" t="e">
        <f t="shared" ca="1" si="8"/>
        <v>#N/A</v>
      </c>
    </row>
    <row r="57" spans="5:18" x14ac:dyDescent="0.3">
      <c r="E57">
        <v>60</v>
      </c>
      <c r="F57" t="s">
        <v>11</v>
      </c>
      <c r="H57" t="s">
        <v>18</v>
      </c>
      <c r="I57">
        <f t="shared" ref="I57:I66" ca="1" si="13">IF(F57="No Team",-1,RAND())</f>
        <v>0.88854222317541542</v>
      </c>
      <c r="K57" t="str">
        <f t="shared" si="1"/>
        <v>Crystal Palace</v>
      </c>
      <c r="L57">
        <f t="shared" ca="1" si="2"/>
        <v>1</v>
      </c>
      <c r="M57" t="str">
        <f t="shared" si="3"/>
        <v>Leicester City</v>
      </c>
      <c r="N57">
        <f t="shared" ca="1" si="4"/>
        <v>2</v>
      </c>
      <c r="O57" t="str">
        <f t="shared" ca="1" si="5"/>
        <v>Leicester City</v>
      </c>
      <c r="P57" t="str">
        <f t="shared" ca="1" si="6"/>
        <v>Crystal Palace</v>
      </c>
      <c r="Q57" t="str">
        <f t="shared" ca="1" si="7"/>
        <v>Not Draw</v>
      </c>
      <c r="R57" t="str">
        <f t="shared" ca="1" si="8"/>
        <v>Not Draw</v>
      </c>
    </row>
    <row r="58" spans="5:18" x14ac:dyDescent="0.3">
      <c r="E58">
        <v>61</v>
      </c>
      <c r="F58" t="s">
        <v>17</v>
      </c>
      <c r="H58" t="s">
        <v>13</v>
      </c>
      <c r="I58">
        <f t="shared" ca="1" si="13"/>
        <v>0.82880483450571973</v>
      </c>
      <c r="K58" t="str">
        <f t="shared" si="1"/>
        <v>Stoke City</v>
      </c>
      <c r="L58">
        <f t="shared" ca="1" si="2"/>
        <v>1</v>
      </c>
      <c r="M58" t="str">
        <f t="shared" si="3"/>
        <v>Swansea City</v>
      </c>
      <c r="N58">
        <f t="shared" ca="1" si="4"/>
        <v>1</v>
      </c>
      <c r="O58" t="str">
        <f t="shared" ca="1" si="5"/>
        <v>Draw</v>
      </c>
      <c r="P58" t="str">
        <f t="shared" ca="1" si="6"/>
        <v>Draw</v>
      </c>
      <c r="Q58" t="str">
        <f t="shared" ca="1" si="7"/>
        <v>Stoke City</v>
      </c>
      <c r="R58" t="str">
        <f t="shared" ca="1" si="8"/>
        <v>Swansea City</v>
      </c>
    </row>
    <row r="59" spans="5:18" x14ac:dyDescent="0.3">
      <c r="E59">
        <v>62</v>
      </c>
      <c r="F59" t="s">
        <v>1</v>
      </c>
      <c r="H59" t="s">
        <v>0</v>
      </c>
      <c r="I59">
        <f t="shared" ca="1" si="13"/>
        <v>0.48884784811550153</v>
      </c>
      <c r="K59" t="str">
        <f t="shared" si="1"/>
        <v>Manchester United</v>
      </c>
      <c r="L59">
        <f t="shared" ca="1" si="2"/>
        <v>2</v>
      </c>
      <c r="M59" t="str">
        <f t="shared" si="3"/>
        <v>Manchester City</v>
      </c>
      <c r="N59">
        <f t="shared" ca="1" si="4"/>
        <v>1</v>
      </c>
      <c r="O59" t="str">
        <f t="shared" ca="1" si="5"/>
        <v>Manchester United</v>
      </c>
      <c r="P59" t="str">
        <f t="shared" ca="1" si="6"/>
        <v>Manchester City</v>
      </c>
      <c r="Q59" t="str">
        <f t="shared" ca="1" si="7"/>
        <v>Not Draw</v>
      </c>
      <c r="R59" t="str">
        <f t="shared" ca="1" si="8"/>
        <v>Not Draw</v>
      </c>
    </row>
    <row r="60" spans="5:18" x14ac:dyDescent="0.3">
      <c r="E60">
        <v>63</v>
      </c>
      <c r="F60" t="s">
        <v>12</v>
      </c>
      <c r="H60" t="s">
        <v>2</v>
      </c>
      <c r="I60">
        <f t="shared" ca="1" si="13"/>
        <v>0.66192694776824978</v>
      </c>
      <c r="K60" t="str">
        <f t="shared" si="1"/>
        <v>Southampton</v>
      </c>
      <c r="L60">
        <f t="shared" ca="1" si="2"/>
        <v>0</v>
      </c>
      <c r="M60" t="str">
        <f t="shared" si="3"/>
        <v>Chelsea</v>
      </c>
      <c r="N60">
        <f t="shared" ca="1" si="4"/>
        <v>2</v>
      </c>
      <c r="O60" t="str">
        <f t="shared" ca="1" si="5"/>
        <v>Chelsea</v>
      </c>
      <c r="P60" t="str">
        <f t="shared" ca="1" si="6"/>
        <v>Southampton</v>
      </c>
      <c r="Q60" t="str">
        <f t="shared" ca="1" si="7"/>
        <v>Not Draw</v>
      </c>
      <c r="R60" t="str">
        <f t="shared" ca="1" si="8"/>
        <v>Not Draw</v>
      </c>
    </row>
    <row r="61" spans="5:18" x14ac:dyDescent="0.3">
      <c r="E61">
        <v>64</v>
      </c>
      <c r="F61" t="s">
        <v>4</v>
      </c>
      <c r="H61" t="s">
        <v>10</v>
      </c>
      <c r="I61">
        <f t="shared" ca="1" si="13"/>
        <v>0.21806560275836773</v>
      </c>
      <c r="K61" t="str">
        <f t="shared" si="1"/>
        <v>Tottenham Hotspur</v>
      </c>
      <c r="L61">
        <f t="shared" ca="1" si="2"/>
        <v>4</v>
      </c>
      <c r="M61" t="str">
        <f t="shared" si="3"/>
        <v>Brighton</v>
      </c>
      <c r="N61">
        <f t="shared" ca="1" si="4"/>
        <v>2</v>
      </c>
      <c r="O61" t="str">
        <f t="shared" ca="1" si="5"/>
        <v>Tottenham Hotspur</v>
      </c>
      <c r="P61" t="str">
        <f t="shared" ca="1" si="6"/>
        <v>Brighton</v>
      </c>
      <c r="Q61" t="str">
        <f t="shared" ca="1" si="7"/>
        <v>Not Draw</v>
      </c>
      <c r="R61" t="str">
        <f t="shared" ca="1" si="8"/>
        <v>Not Draw</v>
      </c>
    </row>
    <row r="62" spans="5:18" x14ac:dyDescent="0.3">
      <c r="E62">
        <v>65</v>
      </c>
      <c r="F62" t="s">
        <v>5</v>
      </c>
      <c r="H62" t="s">
        <v>3</v>
      </c>
      <c r="I62">
        <f t="shared" ca="1" si="13"/>
        <v>6.4888557593423046E-2</v>
      </c>
      <c r="K62" t="str">
        <f t="shared" si="1"/>
        <v>Liverpool</v>
      </c>
      <c r="L62">
        <f t="shared" ca="1" si="2"/>
        <v>2</v>
      </c>
      <c r="M62" t="str">
        <f t="shared" si="3"/>
        <v>Arsenal</v>
      </c>
      <c r="N62">
        <f t="shared" ca="1" si="4"/>
        <v>2</v>
      </c>
      <c r="O62" t="str">
        <f t="shared" ca="1" si="5"/>
        <v>Draw</v>
      </c>
      <c r="P62" t="str">
        <f t="shared" ca="1" si="6"/>
        <v>Draw</v>
      </c>
      <c r="Q62" t="str">
        <f t="shared" ca="1" si="7"/>
        <v>Liverpool</v>
      </c>
      <c r="R62" t="str">
        <f t="shared" ca="1" si="8"/>
        <v>Arsenal</v>
      </c>
    </row>
    <row r="63" spans="5:18" x14ac:dyDescent="0.3">
      <c r="E63">
        <v>66</v>
      </c>
      <c r="F63" t="s">
        <v>14</v>
      </c>
      <c r="H63" t="s">
        <v>7</v>
      </c>
      <c r="I63">
        <f t="shared" ca="1" si="13"/>
        <v>0.86641276433571679</v>
      </c>
      <c r="K63" t="str">
        <f t="shared" si="1"/>
        <v>Huddersfield</v>
      </c>
      <c r="L63">
        <f t="shared" ca="1" si="2"/>
        <v>0</v>
      </c>
      <c r="M63" t="str">
        <f t="shared" si="3"/>
        <v>Burnley</v>
      </c>
      <c r="N63">
        <f t="shared" ca="1" si="4"/>
        <v>2</v>
      </c>
      <c r="O63" t="str">
        <f t="shared" ca="1" si="5"/>
        <v>Burnley</v>
      </c>
      <c r="P63" t="str">
        <f t="shared" ca="1" si="6"/>
        <v>Huddersfield</v>
      </c>
      <c r="Q63" t="str">
        <f t="shared" ca="1" si="7"/>
        <v>Not Draw</v>
      </c>
      <c r="R63" t="str">
        <f t="shared" ca="1" si="8"/>
        <v>Not Draw</v>
      </c>
    </row>
    <row r="64" spans="5:18" x14ac:dyDescent="0.3">
      <c r="E64">
        <v>67</v>
      </c>
      <c r="F64" t="s">
        <v>9</v>
      </c>
      <c r="H64" t="s">
        <v>15</v>
      </c>
      <c r="I64">
        <f t="shared" ca="1" si="13"/>
        <v>0.26327491416389825</v>
      </c>
      <c r="K64" t="str">
        <f t="shared" si="1"/>
        <v>Bournemouth</v>
      </c>
      <c r="L64">
        <f t="shared" ca="1" si="2"/>
        <v>0</v>
      </c>
      <c r="M64" t="str">
        <f t="shared" si="3"/>
        <v>West Bromwich</v>
      </c>
      <c r="N64">
        <f t="shared" ca="1" si="4"/>
        <v>4</v>
      </c>
      <c r="O64" t="str">
        <f t="shared" ca="1" si="5"/>
        <v>West Bromwich</v>
      </c>
      <c r="P64" t="str">
        <f t="shared" ca="1" si="6"/>
        <v>Bournemouth</v>
      </c>
      <c r="Q64" t="str">
        <f t="shared" ca="1" si="7"/>
        <v>Not Draw</v>
      </c>
      <c r="R64" t="str">
        <f t="shared" ca="1" si="8"/>
        <v>Not Draw</v>
      </c>
    </row>
    <row r="65" spans="5:18" x14ac:dyDescent="0.3">
      <c r="E65">
        <v>68</v>
      </c>
      <c r="F65" t="s">
        <v>8</v>
      </c>
      <c r="H65" t="s">
        <v>16</v>
      </c>
      <c r="I65">
        <f t="shared" ca="1" si="13"/>
        <v>3.370448243951718E-3</v>
      </c>
      <c r="K65" t="str">
        <f t="shared" si="1"/>
        <v>Watford</v>
      </c>
      <c r="L65">
        <f t="shared" ca="1" si="2"/>
        <v>0</v>
      </c>
      <c r="M65" t="str">
        <f t="shared" si="3"/>
        <v>West Ham United</v>
      </c>
      <c r="N65">
        <f t="shared" ca="1" si="4"/>
        <v>0</v>
      </c>
      <c r="O65" t="str">
        <f t="shared" ca="1" si="5"/>
        <v>Draw</v>
      </c>
      <c r="P65" t="str">
        <f t="shared" ca="1" si="6"/>
        <v>Draw</v>
      </c>
      <c r="Q65" t="str">
        <f t="shared" ca="1" si="7"/>
        <v>Watford</v>
      </c>
      <c r="R65" t="str">
        <f t="shared" ca="1" si="8"/>
        <v>West Ham United</v>
      </c>
    </row>
    <row r="66" spans="5:18" x14ac:dyDescent="0.3">
      <c r="E66">
        <v>69</v>
      </c>
      <c r="F66" t="s">
        <v>23</v>
      </c>
      <c r="H66" t="s">
        <v>6</v>
      </c>
      <c r="I66">
        <f t="shared" ca="1" si="13"/>
        <v>0.77098958419767538</v>
      </c>
      <c r="K66" t="str">
        <f t="shared" si="1"/>
        <v>Newcastle</v>
      </c>
      <c r="L66">
        <f t="shared" ca="1" si="2"/>
        <v>0</v>
      </c>
      <c r="M66" t="str">
        <f t="shared" si="3"/>
        <v>Everton</v>
      </c>
      <c r="N66">
        <f t="shared" ca="1" si="4"/>
        <v>1</v>
      </c>
      <c r="O66" t="str">
        <f t="shared" ca="1" si="5"/>
        <v>Everton</v>
      </c>
      <c r="P66" t="str">
        <f t="shared" ca="1" si="6"/>
        <v>Newcastle</v>
      </c>
      <c r="Q66" t="str">
        <f t="shared" ca="1" si="7"/>
        <v>Not Draw</v>
      </c>
      <c r="R66" t="str">
        <f t="shared" ca="1" si="8"/>
        <v>Not Draw</v>
      </c>
    </row>
    <row r="67" spans="5:18" x14ac:dyDescent="0.3">
      <c r="F67">
        <v>7</v>
      </c>
      <c r="K67">
        <f t="shared" ref="K67:K130" si="14">F67</f>
        <v>7</v>
      </c>
      <c r="L67" t="e">
        <f t="shared" ref="L67:L130" ca="1" si="15">MAX(0,(VLOOKUP(RAND(),$S$2:$T$9,2,1)+(IF(RAND()+((VLOOKUP(K67,$B$23:$C$42,2,1)-VLOOKUP(M67,$B$23:$C$42,2,1))/2)&gt;0.9,1,0)+(IF(RAND()+((VLOOKUP(K67,$B$23:$C$42,2,1)-VLOOKUP(M67,$B$23:$C$42,2,1))/2)&lt;0,-1,0)))))</f>
        <v>#N/A</v>
      </c>
      <c r="M67">
        <f t="shared" ref="M67:M130" si="16">H67</f>
        <v>0</v>
      </c>
      <c r="N67" t="e">
        <f t="shared" ref="N67:N130" ca="1" si="17">MAX(0,(VLOOKUP(RAND(),$S$2:$T$9,2,1)+(IF(RAND()+((VLOOKUP(M67,$B$23:$C$42,2,1)-VLOOKUP(K67,$B$23:$C$42,2,1))/2)&gt;0.95,1,0)+(IF(RAND()+((VLOOKUP(M67,$B$23:$C$42,2,1)-VLOOKUP(K67,$B$23:$C$42,2,1))/2)&lt;0,-1,0)))))</f>
        <v>#N/A</v>
      </c>
      <c r="O67" t="e">
        <f t="shared" ref="O67:O130" ca="1" si="18">IF(L67=N67,"Draw",IF(L67&gt;N67,K67,M67))</f>
        <v>#N/A</v>
      </c>
      <c r="P67" t="e">
        <f t="shared" ref="P67:P130" ca="1" si="19">IF(O67="Draw","Draw",IF(O67=K67,M67,K67))</f>
        <v>#N/A</v>
      </c>
      <c r="Q67" t="e">
        <f t="shared" ref="Q67:Q130" ca="1" si="20">IF(L67=N67,K67,"Not Draw")</f>
        <v>#N/A</v>
      </c>
      <c r="R67" t="e">
        <f t="shared" ref="R67:R130" ca="1" si="21">IF(L67=N67,M67,"Not Draw")</f>
        <v>#N/A</v>
      </c>
    </row>
    <row r="68" spans="5:18" x14ac:dyDescent="0.3">
      <c r="E68">
        <v>70</v>
      </c>
      <c r="F68" t="s">
        <v>0</v>
      </c>
      <c r="H68" t="s">
        <v>4</v>
      </c>
      <c r="I68">
        <f t="shared" ref="I68:I77" ca="1" si="22">IF(F68="No Team",-1,RAND())</f>
        <v>0.52284188381217811</v>
      </c>
      <c r="K68" t="str">
        <f t="shared" si="14"/>
        <v>Manchester City</v>
      </c>
      <c r="L68">
        <f t="shared" ca="1" si="15"/>
        <v>2</v>
      </c>
      <c r="M68" t="str">
        <f t="shared" si="16"/>
        <v>Tottenham Hotspur</v>
      </c>
      <c r="N68">
        <f t="shared" ca="1" si="17"/>
        <v>2</v>
      </c>
      <c r="O68" t="str">
        <f t="shared" ca="1" si="18"/>
        <v>Draw</v>
      </c>
      <c r="P68" t="str">
        <f t="shared" ca="1" si="19"/>
        <v>Draw</v>
      </c>
      <c r="Q68" t="str">
        <f t="shared" ca="1" si="20"/>
        <v>Manchester City</v>
      </c>
      <c r="R68" t="str">
        <f t="shared" ca="1" si="21"/>
        <v>Tottenham Hotspur</v>
      </c>
    </row>
    <row r="69" spans="5:18" x14ac:dyDescent="0.3">
      <c r="E69">
        <v>71</v>
      </c>
      <c r="F69" t="s">
        <v>16</v>
      </c>
      <c r="H69" t="s">
        <v>14</v>
      </c>
      <c r="I69">
        <f t="shared" ca="1" si="22"/>
        <v>0.6943381971845628</v>
      </c>
      <c r="K69" t="str">
        <f t="shared" si="14"/>
        <v>West Ham United</v>
      </c>
      <c r="L69">
        <f t="shared" ca="1" si="15"/>
        <v>1</v>
      </c>
      <c r="M69" t="str">
        <f t="shared" si="16"/>
        <v>Huddersfield</v>
      </c>
      <c r="N69">
        <f t="shared" ca="1" si="17"/>
        <v>1</v>
      </c>
      <c r="O69" t="str">
        <f t="shared" ca="1" si="18"/>
        <v>Draw</v>
      </c>
      <c r="P69" t="str">
        <f t="shared" ca="1" si="19"/>
        <v>Draw</v>
      </c>
      <c r="Q69" t="str">
        <f t="shared" ca="1" si="20"/>
        <v>West Ham United</v>
      </c>
      <c r="R69" t="str">
        <f t="shared" ca="1" si="21"/>
        <v>Huddersfield</v>
      </c>
    </row>
    <row r="70" spans="5:18" x14ac:dyDescent="0.3">
      <c r="E70">
        <v>72</v>
      </c>
      <c r="F70" t="s">
        <v>13</v>
      </c>
      <c r="H70" t="s">
        <v>12</v>
      </c>
      <c r="I70">
        <f t="shared" ca="1" si="22"/>
        <v>0.43771225256097668</v>
      </c>
      <c r="K70" t="str">
        <f t="shared" si="14"/>
        <v>Swansea City</v>
      </c>
      <c r="L70">
        <f t="shared" ca="1" si="15"/>
        <v>0</v>
      </c>
      <c r="M70" t="str">
        <f t="shared" si="16"/>
        <v>Southampton</v>
      </c>
      <c r="N70">
        <f t="shared" ca="1" si="17"/>
        <v>0</v>
      </c>
      <c r="O70" t="str">
        <f t="shared" ca="1" si="18"/>
        <v>Draw</v>
      </c>
      <c r="P70" t="str">
        <f t="shared" ca="1" si="19"/>
        <v>Draw</v>
      </c>
      <c r="Q70" t="str">
        <f t="shared" ca="1" si="20"/>
        <v>Swansea City</v>
      </c>
      <c r="R70" t="str">
        <f t="shared" ca="1" si="21"/>
        <v>Southampton</v>
      </c>
    </row>
    <row r="71" spans="5:18" x14ac:dyDescent="0.3">
      <c r="E71">
        <v>73</v>
      </c>
      <c r="F71" t="s">
        <v>15</v>
      </c>
      <c r="H71" t="s">
        <v>5</v>
      </c>
      <c r="I71">
        <f t="shared" ca="1" si="22"/>
        <v>0.62320430602817301</v>
      </c>
      <c r="K71" t="str">
        <f t="shared" si="14"/>
        <v>West Bromwich</v>
      </c>
      <c r="L71">
        <f t="shared" ca="1" si="15"/>
        <v>2</v>
      </c>
      <c r="M71" t="str">
        <f t="shared" si="16"/>
        <v>Liverpool</v>
      </c>
      <c r="N71">
        <f t="shared" ca="1" si="17"/>
        <v>2</v>
      </c>
      <c r="O71" t="str">
        <f t="shared" ca="1" si="18"/>
        <v>Draw</v>
      </c>
      <c r="P71" t="str">
        <f t="shared" ca="1" si="19"/>
        <v>Draw</v>
      </c>
      <c r="Q71" t="str">
        <f t="shared" ca="1" si="20"/>
        <v>West Bromwich</v>
      </c>
      <c r="R71" t="str">
        <f t="shared" ca="1" si="21"/>
        <v>Liverpool</v>
      </c>
    </row>
    <row r="72" spans="5:18" x14ac:dyDescent="0.3">
      <c r="E72">
        <v>74</v>
      </c>
      <c r="F72" t="s">
        <v>7</v>
      </c>
      <c r="H72" t="s">
        <v>1</v>
      </c>
      <c r="I72">
        <f t="shared" ca="1" si="22"/>
        <v>0.27558465279486544</v>
      </c>
      <c r="K72" t="str">
        <f t="shared" si="14"/>
        <v>Burnley</v>
      </c>
      <c r="L72">
        <f t="shared" ca="1" si="15"/>
        <v>2</v>
      </c>
      <c r="M72" t="str">
        <f t="shared" si="16"/>
        <v>Manchester United</v>
      </c>
      <c r="N72">
        <f t="shared" ca="1" si="17"/>
        <v>2</v>
      </c>
      <c r="O72" t="str">
        <f t="shared" ca="1" si="18"/>
        <v>Draw</v>
      </c>
      <c r="P72" t="str">
        <f t="shared" ca="1" si="19"/>
        <v>Draw</v>
      </c>
      <c r="Q72" t="str">
        <f t="shared" ca="1" si="20"/>
        <v>Burnley</v>
      </c>
      <c r="R72" t="str">
        <f t="shared" ca="1" si="21"/>
        <v>Manchester United</v>
      </c>
    </row>
    <row r="73" spans="5:18" x14ac:dyDescent="0.3">
      <c r="E73">
        <v>75</v>
      </c>
      <c r="F73" t="s">
        <v>18</v>
      </c>
      <c r="H73" t="s">
        <v>9</v>
      </c>
      <c r="I73">
        <f t="shared" ca="1" si="22"/>
        <v>0.65790415180824569</v>
      </c>
      <c r="K73" t="str">
        <f t="shared" si="14"/>
        <v>Leicester City</v>
      </c>
      <c r="L73">
        <f t="shared" ca="1" si="15"/>
        <v>4</v>
      </c>
      <c r="M73" t="str">
        <f t="shared" si="16"/>
        <v>Bournemouth</v>
      </c>
      <c r="N73">
        <f t="shared" ca="1" si="17"/>
        <v>4</v>
      </c>
      <c r="O73" t="str">
        <f t="shared" ca="1" si="18"/>
        <v>Draw</v>
      </c>
      <c r="P73" t="str">
        <f t="shared" ca="1" si="19"/>
        <v>Draw</v>
      </c>
      <c r="Q73" t="str">
        <f t="shared" ca="1" si="20"/>
        <v>Leicester City</v>
      </c>
      <c r="R73" t="str">
        <f t="shared" ca="1" si="21"/>
        <v>Bournemouth</v>
      </c>
    </row>
    <row r="74" spans="5:18" x14ac:dyDescent="0.3">
      <c r="E74">
        <v>76</v>
      </c>
      <c r="F74" t="s">
        <v>6</v>
      </c>
      <c r="H74" t="s">
        <v>11</v>
      </c>
      <c r="I74">
        <f t="shared" ca="1" si="22"/>
        <v>0.71012307631273375</v>
      </c>
      <c r="K74" t="str">
        <f t="shared" si="14"/>
        <v>Everton</v>
      </c>
      <c r="L74">
        <f t="shared" ca="1" si="15"/>
        <v>1</v>
      </c>
      <c r="M74" t="str">
        <f t="shared" si="16"/>
        <v>Crystal Palace</v>
      </c>
      <c r="N74">
        <f t="shared" ca="1" si="17"/>
        <v>5</v>
      </c>
      <c r="O74" t="str">
        <f t="shared" ca="1" si="18"/>
        <v>Crystal Palace</v>
      </c>
      <c r="P74" t="str">
        <f t="shared" ca="1" si="19"/>
        <v>Everton</v>
      </c>
      <c r="Q74" t="str">
        <f t="shared" ca="1" si="20"/>
        <v>Not Draw</v>
      </c>
      <c r="R74" t="str">
        <f t="shared" ca="1" si="21"/>
        <v>Not Draw</v>
      </c>
    </row>
    <row r="75" spans="5:18" x14ac:dyDescent="0.3">
      <c r="E75">
        <v>77</v>
      </c>
      <c r="F75" t="s">
        <v>3</v>
      </c>
      <c r="H75" t="s">
        <v>8</v>
      </c>
      <c r="I75">
        <f t="shared" ca="1" si="22"/>
        <v>0.85076554727722964</v>
      </c>
      <c r="K75" t="str">
        <f t="shared" si="14"/>
        <v>Arsenal</v>
      </c>
      <c r="L75">
        <f t="shared" ca="1" si="15"/>
        <v>5</v>
      </c>
      <c r="M75" t="str">
        <f t="shared" si="16"/>
        <v>Watford</v>
      </c>
      <c r="N75">
        <f t="shared" ca="1" si="17"/>
        <v>2</v>
      </c>
      <c r="O75" t="str">
        <f t="shared" ca="1" si="18"/>
        <v>Arsenal</v>
      </c>
      <c r="P75" t="str">
        <f t="shared" ca="1" si="19"/>
        <v>Watford</v>
      </c>
      <c r="Q75" t="str">
        <f t="shared" ca="1" si="20"/>
        <v>Not Draw</v>
      </c>
      <c r="R75" t="str">
        <f t="shared" ca="1" si="21"/>
        <v>Not Draw</v>
      </c>
    </row>
    <row r="76" spans="5:18" x14ac:dyDescent="0.3">
      <c r="E76">
        <v>78</v>
      </c>
      <c r="F76" t="s">
        <v>10</v>
      </c>
      <c r="H76" t="s">
        <v>17</v>
      </c>
      <c r="I76">
        <f t="shared" ca="1" si="22"/>
        <v>0.99697843588815549</v>
      </c>
      <c r="K76" t="str">
        <f t="shared" si="14"/>
        <v>Brighton</v>
      </c>
      <c r="L76">
        <f t="shared" ca="1" si="15"/>
        <v>1</v>
      </c>
      <c r="M76" t="str">
        <f t="shared" si="16"/>
        <v>Stoke City</v>
      </c>
      <c r="N76">
        <f t="shared" ca="1" si="17"/>
        <v>1</v>
      </c>
      <c r="O76" t="str">
        <f t="shared" ca="1" si="18"/>
        <v>Draw</v>
      </c>
      <c r="P76" t="str">
        <f t="shared" ca="1" si="19"/>
        <v>Draw</v>
      </c>
      <c r="Q76" t="str">
        <f t="shared" ca="1" si="20"/>
        <v>Brighton</v>
      </c>
      <c r="R76" t="str">
        <f t="shared" ca="1" si="21"/>
        <v>Stoke City</v>
      </c>
    </row>
    <row r="77" spans="5:18" x14ac:dyDescent="0.3">
      <c r="E77">
        <v>79</v>
      </c>
      <c r="F77" t="s">
        <v>2</v>
      </c>
      <c r="H77" t="s">
        <v>23</v>
      </c>
      <c r="I77">
        <f t="shared" ca="1" si="22"/>
        <v>0.24962731669042382</v>
      </c>
      <c r="K77" t="str">
        <f t="shared" si="14"/>
        <v>Chelsea</v>
      </c>
      <c r="L77">
        <f t="shared" ca="1" si="15"/>
        <v>5</v>
      </c>
      <c r="M77" t="str">
        <f t="shared" si="16"/>
        <v>Newcastle</v>
      </c>
      <c r="N77">
        <f t="shared" ca="1" si="17"/>
        <v>4</v>
      </c>
      <c r="O77" t="str">
        <f t="shared" ca="1" si="18"/>
        <v>Chelsea</v>
      </c>
      <c r="P77" t="str">
        <f t="shared" ca="1" si="19"/>
        <v>Newcastle</v>
      </c>
      <c r="Q77" t="str">
        <f t="shared" ca="1" si="20"/>
        <v>Not Draw</v>
      </c>
      <c r="R77" t="str">
        <f t="shared" ca="1" si="21"/>
        <v>Not Draw</v>
      </c>
    </row>
    <row r="78" spans="5:18" x14ac:dyDescent="0.3">
      <c r="F78">
        <v>8</v>
      </c>
      <c r="K78">
        <f t="shared" si="14"/>
        <v>8</v>
      </c>
      <c r="L78" t="e">
        <f t="shared" ca="1" si="15"/>
        <v>#N/A</v>
      </c>
      <c r="M78">
        <f t="shared" si="16"/>
        <v>0</v>
      </c>
      <c r="N78" t="e">
        <f t="shared" ca="1" si="17"/>
        <v>#N/A</v>
      </c>
      <c r="O78" t="e">
        <f t="shared" ca="1" si="18"/>
        <v>#N/A</v>
      </c>
      <c r="P78" t="e">
        <f t="shared" ca="1" si="19"/>
        <v>#N/A</v>
      </c>
      <c r="Q78" t="e">
        <f t="shared" ca="1" si="20"/>
        <v>#N/A</v>
      </c>
      <c r="R78" t="e">
        <f t="shared" ca="1" si="21"/>
        <v>#N/A</v>
      </c>
    </row>
    <row r="79" spans="5:18" x14ac:dyDescent="0.3">
      <c r="E79">
        <v>80</v>
      </c>
      <c r="F79" t="s">
        <v>8</v>
      </c>
      <c r="H79" t="s">
        <v>15</v>
      </c>
      <c r="I79">
        <f t="shared" ref="I79:I88" ca="1" si="23">IF(F79="No Team",-1,RAND())</f>
        <v>0.87012564252546776</v>
      </c>
      <c r="K79" t="str">
        <f t="shared" si="14"/>
        <v>Watford</v>
      </c>
      <c r="L79">
        <f t="shared" ca="1" si="15"/>
        <v>2</v>
      </c>
      <c r="M79" t="str">
        <f t="shared" si="16"/>
        <v>West Bromwich</v>
      </c>
      <c r="N79">
        <f t="shared" ca="1" si="17"/>
        <v>1</v>
      </c>
      <c r="O79" t="str">
        <f t="shared" ca="1" si="18"/>
        <v>Watford</v>
      </c>
      <c r="P79" t="str">
        <f t="shared" ca="1" si="19"/>
        <v>West Bromwich</v>
      </c>
      <c r="Q79" t="str">
        <f t="shared" ca="1" si="20"/>
        <v>Not Draw</v>
      </c>
      <c r="R79" t="str">
        <f t="shared" ca="1" si="21"/>
        <v>Not Draw</v>
      </c>
    </row>
    <row r="80" spans="5:18" x14ac:dyDescent="0.3">
      <c r="E80">
        <v>81</v>
      </c>
      <c r="F80" t="s">
        <v>23</v>
      </c>
      <c r="H80" t="s">
        <v>13</v>
      </c>
      <c r="I80">
        <f t="shared" ca="1" si="23"/>
        <v>0.44203928825379202</v>
      </c>
      <c r="K80" t="str">
        <f t="shared" si="14"/>
        <v>Newcastle</v>
      </c>
      <c r="L80">
        <f t="shared" ca="1" si="15"/>
        <v>1</v>
      </c>
      <c r="M80" t="str">
        <f t="shared" si="16"/>
        <v>Swansea City</v>
      </c>
      <c r="N80">
        <f t="shared" ca="1" si="17"/>
        <v>3</v>
      </c>
      <c r="O80" t="str">
        <f t="shared" ca="1" si="18"/>
        <v>Swansea City</v>
      </c>
      <c r="P80" t="str">
        <f t="shared" ca="1" si="19"/>
        <v>Newcastle</v>
      </c>
      <c r="Q80" t="str">
        <f t="shared" ca="1" si="20"/>
        <v>Not Draw</v>
      </c>
      <c r="R80" t="str">
        <f t="shared" ca="1" si="21"/>
        <v>Not Draw</v>
      </c>
    </row>
    <row r="81" spans="5:18" x14ac:dyDescent="0.3">
      <c r="E81">
        <v>82</v>
      </c>
      <c r="F81" t="s">
        <v>9</v>
      </c>
      <c r="H81" t="s">
        <v>6</v>
      </c>
      <c r="I81">
        <f t="shared" ca="1" si="23"/>
        <v>0.92091617231397604</v>
      </c>
      <c r="K81" t="str">
        <f t="shared" si="14"/>
        <v>Bournemouth</v>
      </c>
      <c r="L81">
        <f t="shared" ca="1" si="15"/>
        <v>1</v>
      </c>
      <c r="M81" t="str">
        <f t="shared" si="16"/>
        <v>Everton</v>
      </c>
      <c r="N81">
        <f t="shared" ca="1" si="17"/>
        <v>0</v>
      </c>
      <c r="O81" t="str">
        <f t="shared" ca="1" si="18"/>
        <v>Bournemouth</v>
      </c>
      <c r="P81" t="str">
        <f t="shared" ca="1" si="19"/>
        <v>Everton</v>
      </c>
      <c r="Q81" t="str">
        <f t="shared" ca="1" si="20"/>
        <v>Not Draw</v>
      </c>
      <c r="R81" t="str">
        <f t="shared" ca="1" si="21"/>
        <v>Not Draw</v>
      </c>
    </row>
    <row r="82" spans="5:18" x14ac:dyDescent="0.3">
      <c r="E82">
        <v>83</v>
      </c>
      <c r="F82" t="s">
        <v>1</v>
      </c>
      <c r="H82" t="s">
        <v>16</v>
      </c>
      <c r="I82">
        <f t="shared" ca="1" si="23"/>
        <v>0.42438893227641095</v>
      </c>
      <c r="K82" t="str">
        <f t="shared" si="14"/>
        <v>Manchester United</v>
      </c>
      <c r="L82">
        <f t="shared" ca="1" si="15"/>
        <v>3</v>
      </c>
      <c r="M82" t="str">
        <f t="shared" si="16"/>
        <v>West Ham United</v>
      </c>
      <c r="N82">
        <f t="shared" ca="1" si="17"/>
        <v>0</v>
      </c>
      <c r="O82" t="str">
        <f t="shared" ca="1" si="18"/>
        <v>Manchester United</v>
      </c>
      <c r="P82" t="str">
        <f t="shared" ca="1" si="19"/>
        <v>West Ham United</v>
      </c>
      <c r="Q82" t="str">
        <f t="shared" ca="1" si="20"/>
        <v>Not Draw</v>
      </c>
      <c r="R82" t="str">
        <f t="shared" ca="1" si="21"/>
        <v>Not Draw</v>
      </c>
    </row>
    <row r="83" spans="5:18" x14ac:dyDescent="0.3">
      <c r="E83">
        <v>84</v>
      </c>
      <c r="F83" t="s">
        <v>5</v>
      </c>
      <c r="H83" t="s">
        <v>18</v>
      </c>
      <c r="I83">
        <f t="shared" ca="1" si="23"/>
        <v>0.51650900367292329</v>
      </c>
      <c r="K83" t="str">
        <f t="shared" si="14"/>
        <v>Liverpool</v>
      </c>
      <c r="L83">
        <f t="shared" ca="1" si="15"/>
        <v>1</v>
      </c>
      <c r="M83" t="str">
        <f t="shared" si="16"/>
        <v>Leicester City</v>
      </c>
      <c r="N83">
        <f t="shared" ca="1" si="17"/>
        <v>0</v>
      </c>
      <c r="O83" t="str">
        <f t="shared" ca="1" si="18"/>
        <v>Liverpool</v>
      </c>
      <c r="P83" t="str">
        <f t="shared" ca="1" si="19"/>
        <v>Leicester City</v>
      </c>
      <c r="Q83" t="str">
        <f t="shared" ca="1" si="20"/>
        <v>Not Draw</v>
      </c>
      <c r="R83" t="str">
        <f t="shared" ca="1" si="21"/>
        <v>Not Draw</v>
      </c>
    </row>
    <row r="84" spans="5:18" x14ac:dyDescent="0.3">
      <c r="E84">
        <v>85</v>
      </c>
      <c r="F84" t="s">
        <v>12</v>
      </c>
      <c r="H84" t="s">
        <v>10</v>
      </c>
      <c r="I84">
        <f t="shared" ca="1" si="23"/>
        <v>0.56746885235974387</v>
      </c>
      <c r="K84" t="str">
        <f t="shared" si="14"/>
        <v>Southampton</v>
      </c>
      <c r="L84">
        <f t="shared" ca="1" si="15"/>
        <v>2</v>
      </c>
      <c r="M84" t="str">
        <f t="shared" si="16"/>
        <v>Brighton</v>
      </c>
      <c r="N84">
        <f t="shared" ca="1" si="17"/>
        <v>2</v>
      </c>
      <c r="O84" t="str">
        <f t="shared" ca="1" si="18"/>
        <v>Draw</v>
      </c>
      <c r="P84" t="str">
        <f t="shared" ca="1" si="19"/>
        <v>Draw</v>
      </c>
      <c r="Q84" t="str">
        <f t="shared" ca="1" si="20"/>
        <v>Southampton</v>
      </c>
      <c r="R84" t="str">
        <f t="shared" ca="1" si="21"/>
        <v>Brighton</v>
      </c>
    </row>
    <row r="85" spans="5:18" x14ac:dyDescent="0.3">
      <c r="E85">
        <v>86</v>
      </c>
      <c r="F85" t="s">
        <v>4</v>
      </c>
      <c r="H85" t="s">
        <v>7</v>
      </c>
      <c r="I85">
        <f t="shared" ca="1" si="23"/>
        <v>0.91343089895918417</v>
      </c>
      <c r="K85" t="str">
        <f t="shared" si="14"/>
        <v>Tottenham Hotspur</v>
      </c>
      <c r="L85">
        <f t="shared" ca="1" si="15"/>
        <v>2</v>
      </c>
      <c r="M85" t="str">
        <f t="shared" si="16"/>
        <v>Burnley</v>
      </c>
      <c r="N85">
        <f t="shared" ca="1" si="17"/>
        <v>0</v>
      </c>
      <c r="O85" t="str">
        <f t="shared" ca="1" si="18"/>
        <v>Tottenham Hotspur</v>
      </c>
      <c r="P85" t="str">
        <f t="shared" ca="1" si="19"/>
        <v>Burnley</v>
      </c>
      <c r="Q85" t="str">
        <f t="shared" ca="1" si="20"/>
        <v>Not Draw</v>
      </c>
      <c r="R85" t="str">
        <f t="shared" ca="1" si="21"/>
        <v>Not Draw</v>
      </c>
    </row>
    <row r="86" spans="5:18" x14ac:dyDescent="0.3">
      <c r="E86">
        <v>87</v>
      </c>
      <c r="F86" t="s">
        <v>11</v>
      </c>
      <c r="H86" t="s">
        <v>2</v>
      </c>
      <c r="I86">
        <f t="shared" ca="1" si="23"/>
        <v>8.809237389768243E-3</v>
      </c>
      <c r="K86" t="str">
        <f t="shared" si="14"/>
        <v>Crystal Palace</v>
      </c>
      <c r="L86">
        <f t="shared" ca="1" si="15"/>
        <v>0</v>
      </c>
      <c r="M86" t="str">
        <f t="shared" si="16"/>
        <v>Chelsea</v>
      </c>
      <c r="N86">
        <f t="shared" ca="1" si="17"/>
        <v>2</v>
      </c>
      <c r="O86" t="str">
        <f t="shared" ca="1" si="18"/>
        <v>Chelsea</v>
      </c>
      <c r="P86" t="str">
        <f t="shared" ca="1" si="19"/>
        <v>Crystal Palace</v>
      </c>
      <c r="Q86" t="str">
        <f t="shared" ca="1" si="20"/>
        <v>Not Draw</v>
      </c>
      <c r="R86" t="str">
        <f t="shared" ca="1" si="21"/>
        <v>Not Draw</v>
      </c>
    </row>
    <row r="87" spans="5:18" x14ac:dyDescent="0.3">
      <c r="E87">
        <v>88</v>
      </c>
      <c r="F87" t="s">
        <v>14</v>
      </c>
      <c r="H87" t="s">
        <v>3</v>
      </c>
      <c r="I87">
        <f t="shared" ca="1" si="23"/>
        <v>0.19625349976323392</v>
      </c>
      <c r="K87" t="str">
        <f t="shared" si="14"/>
        <v>Huddersfield</v>
      </c>
      <c r="L87">
        <f t="shared" ca="1" si="15"/>
        <v>0</v>
      </c>
      <c r="M87" t="str">
        <f t="shared" si="16"/>
        <v>Arsenal</v>
      </c>
      <c r="N87">
        <f t="shared" ca="1" si="17"/>
        <v>4</v>
      </c>
      <c r="O87" t="str">
        <f t="shared" ca="1" si="18"/>
        <v>Arsenal</v>
      </c>
      <c r="P87" t="str">
        <f t="shared" ca="1" si="19"/>
        <v>Huddersfield</v>
      </c>
      <c r="Q87" t="str">
        <f t="shared" ca="1" si="20"/>
        <v>Not Draw</v>
      </c>
      <c r="R87" t="str">
        <f t="shared" ca="1" si="21"/>
        <v>Not Draw</v>
      </c>
    </row>
    <row r="88" spans="5:18" x14ac:dyDescent="0.3">
      <c r="E88">
        <v>89</v>
      </c>
      <c r="F88" t="s">
        <v>17</v>
      </c>
      <c r="H88" t="s">
        <v>0</v>
      </c>
      <c r="I88">
        <f t="shared" ca="1" si="23"/>
        <v>0.95704731485470362</v>
      </c>
      <c r="K88" t="str">
        <f t="shared" si="14"/>
        <v>Stoke City</v>
      </c>
      <c r="L88">
        <f t="shared" ca="1" si="15"/>
        <v>1</v>
      </c>
      <c r="M88" t="str">
        <f t="shared" si="16"/>
        <v>Manchester City</v>
      </c>
      <c r="N88">
        <f t="shared" ca="1" si="17"/>
        <v>2</v>
      </c>
      <c r="O88" t="str">
        <f t="shared" ca="1" si="18"/>
        <v>Manchester City</v>
      </c>
      <c r="P88" t="str">
        <f t="shared" ca="1" si="19"/>
        <v>Stoke City</v>
      </c>
      <c r="Q88" t="str">
        <f t="shared" ca="1" si="20"/>
        <v>Not Draw</v>
      </c>
      <c r="R88" t="str">
        <f t="shared" ca="1" si="21"/>
        <v>Not Draw</v>
      </c>
    </row>
    <row r="89" spans="5:18" x14ac:dyDescent="0.3">
      <c r="F89">
        <v>9</v>
      </c>
      <c r="K89">
        <f t="shared" si="14"/>
        <v>9</v>
      </c>
      <c r="L89" t="e">
        <f t="shared" ca="1" si="15"/>
        <v>#N/A</v>
      </c>
      <c r="M89">
        <f t="shared" si="16"/>
        <v>0</v>
      </c>
      <c r="N89" t="e">
        <f t="shared" ca="1" si="17"/>
        <v>#N/A</v>
      </c>
      <c r="O89" t="e">
        <f t="shared" ca="1" si="18"/>
        <v>#N/A</v>
      </c>
      <c r="P89" t="e">
        <f t="shared" ca="1" si="19"/>
        <v>#N/A</v>
      </c>
      <c r="Q89" t="e">
        <f t="shared" ca="1" si="20"/>
        <v>#N/A</v>
      </c>
      <c r="R89" t="e">
        <f t="shared" ca="1" si="21"/>
        <v>#N/A</v>
      </c>
    </row>
    <row r="90" spans="5:18" x14ac:dyDescent="0.3">
      <c r="E90">
        <v>90</v>
      </c>
      <c r="F90" t="s">
        <v>7</v>
      </c>
      <c r="H90" t="s">
        <v>17</v>
      </c>
      <c r="I90">
        <f t="shared" ref="I90:I99" ca="1" si="24">IF(F90="No Team",-1,RAND())</f>
        <v>0.17722199850110643</v>
      </c>
      <c r="K90" t="str">
        <f t="shared" si="14"/>
        <v>Burnley</v>
      </c>
      <c r="L90">
        <f t="shared" ca="1" si="15"/>
        <v>1</v>
      </c>
      <c r="M90" t="str">
        <f t="shared" si="16"/>
        <v>Stoke City</v>
      </c>
      <c r="N90">
        <f t="shared" ca="1" si="17"/>
        <v>2</v>
      </c>
      <c r="O90" t="str">
        <f t="shared" ca="1" si="18"/>
        <v>Stoke City</v>
      </c>
      <c r="P90" t="str">
        <f t="shared" ca="1" si="19"/>
        <v>Burnley</v>
      </c>
      <c r="Q90" t="str">
        <f t="shared" ca="1" si="20"/>
        <v>Not Draw</v>
      </c>
      <c r="R90" t="str">
        <f t="shared" ca="1" si="21"/>
        <v>Not Draw</v>
      </c>
    </row>
    <row r="91" spans="5:18" x14ac:dyDescent="0.3">
      <c r="E91">
        <v>91</v>
      </c>
      <c r="F91" t="s">
        <v>2</v>
      </c>
      <c r="H91" t="s">
        <v>9</v>
      </c>
      <c r="I91">
        <f t="shared" ca="1" si="24"/>
        <v>0.45450025576699971</v>
      </c>
      <c r="K91" t="str">
        <f t="shared" si="14"/>
        <v>Chelsea</v>
      </c>
      <c r="L91">
        <f t="shared" ca="1" si="15"/>
        <v>0</v>
      </c>
      <c r="M91" t="str">
        <f t="shared" si="16"/>
        <v>Bournemouth</v>
      </c>
      <c r="N91">
        <f t="shared" ca="1" si="17"/>
        <v>0</v>
      </c>
      <c r="O91" t="str">
        <f t="shared" ca="1" si="18"/>
        <v>Draw</v>
      </c>
      <c r="P91" t="str">
        <f t="shared" ca="1" si="19"/>
        <v>Draw</v>
      </c>
      <c r="Q91" t="str">
        <f t="shared" ca="1" si="20"/>
        <v>Chelsea</v>
      </c>
      <c r="R91" t="str">
        <f t="shared" ca="1" si="21"/>
        <v>Bournemouth</v>
      </c>
    </row>
    <row r="92" spans="5:18" x14ac:dyDescent="0.3">
      <c r="E92">
        <v>92</v>
      </c>
      <c r="F92" t="s">
        <v>13</v>
      </c>
      <c r="H92" t="s">
        <v>11</v>
      </c>
      <c r="I92">
        <f t="shared" ca="1" si="24"/>
        <v>0.15345120243227961</v>
      </c>
      <c r="K92" t="str">
        <f t="shared" si="14"/>
        <v>Swansea City</v>
      </c>
      <c r="L92">
        <f t="shared" ca="1" si="15"/>
        <v>1</v>
      </c>
      <c r="M92" t="str">
        <f t="shared" si="16"/>
        <v>Crystal Palace</v>
      </c>
      <c r="N92">
        <f t="shared" ca="1" si="17"/>
        <v>2</v>
      </c>
      <c r="O92" t="str">
        <f t="shared" ca="1" si="18"/>
        <v>Crystal Palace</v>
      </c>
      <c r="P92" t="str">
        <f t="shared" ca="1" si="19"/>
        <v>Swansea City</v>
      </c>
      <c r="Q92" t="str">
        <f t="shared" ca="1" si="20"/>
        <v>Not Draw</v>
      </c>
      <c r="R92" t="str">
        <f t="shared" ca="1" si="21"/>
        <v>Not Draw</v>
      </c>
    </row>
    <row r="93" spans="5:18" x14ac:dyDescent="0.3">
      <c r="E93">
        <v>93</v>
      </c>
      <c r="F93" t="s">
        <v>3</v>
      </c>
      <c r="H93" t="s">
        <v>1</v>
      </c>
      <c r="I93">
        <f t="shared" ca="1" si="24"/>
        <v>9.6861186296671176E-2</v>
      </c>
      <c r="K93" t="str">
        <f t="shared" si="14"/>
        <v>Arsenal</v>
      </c>
      <c r="L93">
        <f t="shared" ca="1" si="15"/>
        <v>2</v>
      </c>
      <c r="M93" t="str">
        <f t="shared" si="16"/>
        <v>Manchester United</v>
      </c>
      <c r="N93">
        <f t="shared" ca="1" si="17"/>
        <v>1</v>
      </c>
      <c r="O93" t="str">
        <f t="shared" ca="1" si="18"/>
        <v>Arsenal</v>
      </c>
      <c r="P93" t="str">
        <f t="shared" ca="1" si="19"/>
        <v>Manchester United</v>
      </c>
      <c r="Q93" t="str">
        <f t="shared" ca="1" si="20"/>
        <v>Not Draw</v>
      </c>
      <c r="R93" t="str">
        <f t="shared" ca="1" si="21"/>
        <v>Not Draw</v>
      </c>
    </row>
    <row r="94" spans="5:18" x14ac:dyDescent="0.3">
      <c r="E94">
        <v>94</v>
      </c>
      <c r="F94" t="s">
        <v>0</v>
      </c>
      <c r="H94" t="s">
        <v>12</v>
      </c>
      <c r="I94">
        <f t="shared" ca="1" si="24"/>
        <v>0.3582353056853691</v>
      </c>
      <c r="K94" t="str">
        <f t="shared" si="14"/>
        <v>Manchester City</v>
      </c>
      <c r="L94">
        <f t="shared" ca="1" si="15"/>
        <v>1</v>
      </c>
      <c r="M94" t="str">
        <f t="shared" si="16"/>
        <v>Southampton</v>
      </c>
      <c r="N94">
        <f t="shared" ca="1" si="17"/>
        <v>0</v>
      </c>
      <c r="O94" t="str">
        <f t="shared" ca="1" si="18"/>
        <v>Manchester City</v>
      </c>
      <c r="P94" t="str">
        <f t="shared" ca="1" si="19"/>
        <v>Southampton</v>
      </c>
      <c r="Q94" t="str">
        <f t="shared" ca="1" si="20"/>
        <v>Not Draw</v>
      </c>
      <c r="R94" t="str">
        <f t="shared" ca="1" si="21"/>
        <v>Not Draw</v>
      </c>
    </row>
    <row r="95" spans="5:18" x14ac:dyDescent="0.3">
      <c r="E95">
        <v>95</v>
      </c>
      <c r="F95" t="s">
        <v>16</v>
      </c>
      <c r="H95" t="s">
        <v>4</v>
      </c>
      <c r="I95">
        <f t="shared" ca="1" si="24"/>
        <v>0.587604055808291</v>
      </c>
      <c r="K95" t="str">
        <f t="shared" si="14"/>
        <v>West Ham United</v>
      </c>
      <c r="L95">
        <f t="shared" ca="1" si="15"/>
        <v>3</v>
      </c>
      <c r="M95" t="str">
        <f t="shared" si="16"/>
        <v>Tottenham Hotspur</v>
      </c>
      <c r="N95">
        <f t="shared" ca="1" si="17"/>
        <v>2</v>
      </c>
      <c r="O95" t="str">
        <f t="shared" ca="1" si="18"/>
        <v>West Ham United</v>
      </c>
      <c r="P95" t="str">
        <f t="shared" ca="1" si="19"/>
        <v>Tottenham Hotspur</v>
      </c>
      <c r="Q95" t="str">
        <f t="shared" ca="1" si="20"/>
        <v>Not Draw</v>
      </c>
      <c r="R95" t="str">
        <f t="shared" ca="1" si="21"/>
        <v>Not Draw</v>
      </c>
    </row>
    <row r="96" spans="5:18" x14ac:dyDescent="0.3">
      <c r="E96">
        <v>96</v>
      </c>
      <c r="F96" t="s">
        <v>15</v>
      </c>
      <c r="H96" t="s">
        <v>14</v>
      </c>
      <c r="I96">
        <f t="shared" ca="1" si="24"/>
        <v>0.45662929816960063</v>
      </c>
      <c r="K96" t="str">
        <f t="shared" si="14"/>
        <v>West Bromwich</v>
      </c>
      <c r="L96">
        <f t="shared" ca="1" si="15"/>
        <v>1</v>
      </c>
      <c r="M96" t="str">
        <f t="shared" si="16"/>
        <v>Huddersfield</v>
      </c>
      <c r="N96">
        <f t="shared" ca="1" si="17"/>
        <v>1</v>
      </c>
      <c r="O96" t="str">
        <f t="shared" ca="1" si="18"/>
        <v>Draw</v>
      </c>
      <c r="P96" t="str">
        <f t="shared" ca="1" si="19"/>
        <v>Draw</v>
      </c>
      <c r="Q96" t="str">
        <f t="shared" ca="1" si="20"/>
        <v>West Bromwich</v>
      </c>
      <c r="R96" t="str">
        <f t="shared" ca="1" si="21"/>
        <v>Huddersfield</v>
      </c>
    </row>
    <row r="97" spans="5:18" x14ac:dyDescent="0.3">
      <c r="E97">
        <v>97</v>
      </c>
      <c r="F97" t="s">
        <v>6</v>
      </c>
      <c r="H97" t="s">
        <v>5</v>
      </c>
      <c r="I97">
        <f t="shared" ca="1" si="24"/>
        <v>0.55710672793158711</v>
      </c>
      <c r="K97" t="str">
        <f t="shared" si="14"/>
        <v>Everton</v>
      </c>
      <c r="L97">
        <f t="shared" ca="1" si="15"/>
        <v>0</v>
      </c>
      <c r="M97" t="str">
        <f t="shared" si="16"/>
        <v>Liverpool</v>
      </c>
      <c r="N97">
        <f t="shared" ca="1" si="17"/>
        <v>3</v>
      </c>
      <c r="O97" t="str">
        <f t="shared" ca="1" si="18"/>
        <v>Liverpool</v>
      </c>
      <c r="P97" t="str">
        <f t="shared" ca="1" si="19"/>
        <v>Everton</v>
      </c>
      <c r="Q97" t="str">
        <f t="shared" ca="1" si="20"/>
        <v>Not Draw</v>
      </c>
      <c r="R97" t="str">
        <f t="shared" ca="1" si="21"/>
        <v>Not Draw</v>
      </c>
    </row>
    <row r="98" spans="5:18" x14ac:dyDescent="0.3">
      <c r="E98">
        <v>98</v>
      </c>
      <c r="F98" t="s">
        <v>18</v>
      </c>
      <c r="H98" t="s">
        <v>8</v>
      </c>
      <c r="I98">
        <f t="shared" ca="1" si="24"/>
        <v>0.96064758309936782</v>
      </c>
      <c r="K98" t="str">
        <f t="shared" si="14"/>
        <v>Leicester City</v>
      </c>
      <c r="L98">
        <f t="shared" ca="1" si="15"/>
        <v>0</v>
      </c>
      <c r="M98" t="str">
        <f t="shared" si="16"/>
        <v>Watford</v>
      </c>
      <c r="N98">
        <f t="shared" ca="1" si="17"/>
        <v>2</v>
      </c>
      <c r="O98" t="str">
        <f t="shared" ca="1" si="18"/>
        <v>Watford</v>
      </c>
      <c r="P98" t="str">
        <f t="shared" ca="1" si="19"/>
        <v>Leicester City</v>
      </c>
      <c r="Q98" t="str">
        <f t="shared" ca="1" si="20"/>
        <v>Not Draw</v>
      </c>
      <c r="R98" t="str">
        <f t="shared" ca="1" si="21"/>
        <v>Not Draw</v>
      </c>
    </row>
    <row r="99" spans="5:18" x14ac:dyDescent="0.3">
      <c r="E99">
        <v>99</v>
      </c>
      <c r="F99" t="s">
        <v>10</v>
      </c>
      <c r="H99" t="s">
        <v>23</v>
      </c>
      <c r="I99">
        <f t="shared" ca="1" si="24"/>
        <v>0.75840926376004014</v>
      </c>
      <c r="K99" t="str">
        <f t="shared" si="14"/>
        <v>Brighton</v>
      </c>
      <c r="L99">
        <f t="shared" ca="1" si="15"/>
        <v>2</v>
      </c>
      <c r="M99" t="str">
        <f t="shared" si="16"/>
        <v>Newcastle</v>
      </c>
      <c r="N99">
        <f t="shared" ca="1" si="17"/>
        <v>1</v>
      </c>
      <c r="O99" t="str">
        <f t="shared" ca="1" si="18"/>
        <v>Brighton</v>
      </c>
      <c r="P99" t="str">
        <f t="shared" ca="1" si="19"/>
        <v>Newcastle</v>
      </c>
      <c r="Q99" t="str">
        <f t="shared" ca="1" si="20"/>
        <v>Not Draw</v>
      </c>
      <c r="R99" t="str">
        <f t="shared" ca="1" si="21"/>
        <v>Not Draw</v>
      </c>
    </row>
    <row r="100" spans="5:18" x14ac:dyDescent="0.3">
      <c r="F100">
        <v>10</v>
      </c>
      <c r="K100">
        <f t="shared" si="14"/>
        <v>10</v>
      </c>
      <c r="L100" t="e">
        <f t="shared" ca="1" si="15"/>
        <v>#N/A</v>
      </c>
      <c r="M100">
        <f t="shared" si="16"/>
        <v>0</v>
      </c>
      <c r="N100" t="e">
        <f t="shared" ca="1" si="17"/>
        <v>#N/A</v>
      </c>
      <c r="O100" t="e">
        <f t="shared" ca="1" si="18"/>
        <v>#N/A</v>
      </c>
      <c r="P100" t="e">
        <f t="shared" ca="1" si="19"/>
        <v>#N/A</v>
      </c>
      <c r="Q100" t="e">
        <f t="shared" ca="1" si="20"/>
        <v>#N/A</v>
      </c>
      <c r="R100" t="e">
        <f t="shared" ca="1" si="21"/>
        <v>#N/A</v>
      </c>
    </row>
    <row r="101" spans="5:18" x14ac:dyDescent="0.3">
      <c r="E101">
        <v>100</v>
      </c>
      <c r="F101" t="s">
        <v>5</v>
      </c>
      <c r="H101" t="s">
        <v>2</v>
      </c>
      <c r="I101">
        <f t="shared" ref="I101:I110" ca="1" si="25">IF(F101="No Team",-1,RAND())</f>
        <v>0.98832080234251918</v>
      </c>
      <c r="K101" t="str">
        <f t="shared" si="14"/>
        <v>Liverpool</v>
      </c>
      <c r="L101">
        <f t="shared" ca="1" si="15"/>
        <v>2</v>
      </c>
      <c r="M101" t="str">
        <f t="shared" si="16"/>
        <v>Chelsea</v>
      </c>
      <c r="N101">
        <f t="shared" ca="1" si="17"/>
        <v>0</v>
      </c>
      <c r="O101" t="str">
        <f t="shared" ca="1" si="18"/>
        <v>Liverpool</v>
      </c>
      <c r="P101" t="str">
        <f t="shared" ca="1" si="19"/>
        <v>Chelsea</v>
      </c>
      <c r="Q101" t="str">
        <f t="shared" ca="1" si="20"/>
        <v>Not Draw</v>
      </c>
      <c r="R101" t="str">
        <f t="shared" ca="1" si="21"/>
        <v>Not Draw</v>
      </c>
    </row>
    <row r="102" spans="5:18" x14ac:dyDescent="0.3">
      <c r="E102">
        <v>101</v>
      </c>
      <c r="F102" t="s">
        <v>14</v>
      </c>
      <c r="H102" t="s">
        <v>18</v>
      </c>
      <c r="I102">
        <f t="shared" ca="1" si="25"/>
        <v>0.7389325571595512</v>
      </c>
      <c r="K102" t="str">
        <f t="shared" si="14"/>
        <v>Huddersfield</v>
      </c>
      <c r="L102">
        <f t="shared" ca="1" si="15"/>
        <v>1</v>
      </c>
      <c r="M102" t="str">
        <f t="shared" si="16"/>
        <v>Leicester City</v>
      </c>
      <c r="N102">
        <f t="shared" ca="1" si="17"/>
        <v>0</v>
      </c>
      <c r="O102" t="str">
        <f t="shared" ca="1" si="18"/>
        <v>Huddersfield</v>
      </c>
      <c r="P102" t="str">
        <f t="shared" ca="1" si="19"/>
        <v>Leicester City</v>
      </c>
      <c r="Q102" t="str">
        <f t="shared" ca="1" si="20"/>
        <v>Not Draw</v>
      </c>
      <c r="R102" t="str">
        <f t="shared" ca="1" si="21"/>
        <v>Not Draw</v>
      </c>
    </row>
    <row r="103" spans="5:18" x14ac:dyDescent="0.3">
      <c r="E103">
        <v>102</v>
      </c>
      <c r="F103" t="s">
        <v>8</v>
      </c>
      <c r="H103" t="s">
        <v>6</v>
      </c>
      <c r="I103">
        <f t="shared" ca="1" si="25"/>
        <v>0.60347400261900241</v>
      </c>
      <c r="K103" t="str">
        <f t="shared" si="14"/>
        <v>Watford</v>
      </c>
      <c r="L103">
        <f t="shared" ca="1" si="15"/>
        <v>2</v>
      </c>
      <c r="M103" t="str">
        <f t="shared" si="16"/>
        <v>Everton</v>
      </c>
      <c r="N103">
        <f t="shared" ca="1" si="17"/>
        <v>2</v>
      </c>
      <c r="O103" t="str">
        <f t="shared" ca="1" si="18"/>
        <v>Draw</v>
      </c>
      <c r="P103" t="str">
        <f t="shared" ca="1" si="19"/>
        <v>Draw</v>
      </c>
      <c r="Q103" t="str">
        <f t="shared" ca="1" si="20"/>
        <v>Watford</v>
      </c>
      <c r="R103" t="str">
        <f t="shared" ca="1" si="21"/>
        <v>Everton</v>
      </c>
    </row>
    <row r="104" spans="5:18" x14ac:dyDescent="0.3">
      <c r="E104">
        <v>103</v>
      </c>
      <c r="F104" t="s">
        <v>1</v>
      </c>
      <c r="H104" t="s">
        <v>15</v>
      </c>
      <c r="I104">
        <f t="shared" ca="1" si="25"/>
        <v>0.75769530401487573</v>
      </c>
      <c r="K104" t="str">
        <f t="shared" si="14"/>
        <v>Manchester United</v>
      </c>
      <c r="L104">
        <f t="shared" ca="1" si="15"/>
        <v>3</v>
      </c>
      <c r="M104" t="str">
        <f t="shared" si="16"/>
        <v>West Bromwich</v>
      </c>
      <c r="N104">
        <f t="shared" ca="1" si="17"/>
        <v>0</v>
      </c>
      <c r="O104" t="str">
        <f t="shared" ca="1" si="18"/>
        <v>Manchester United</v>
      </c>
      <c r="P104" t="str">
        <f t="shared" ca="1" si="19"/>
        <v>West Bromwich</v>
      </c>
      <c r="Q104" t="str">
        <f t="shared" ca="1" si="20"/>
        <v>Not Draw</v>
      </c>
      <c r="R104" t="str">
        <f t="shared" ca="1" si="21"/>
        <v>Not Draw</v>
      </c>
    </row>
    <row r="105" spans="5:18" x14ac:dyDescent="0.3">
      <c r="E105">
        <v>104</v>
      </c>
      <c r="F105" t="s">
        <v>4</v>
      </c>
      <c r="H105" t="s">
        <v>3</v>
      </c>
      <c r="I105">
        <f t="shared" ca="1" si="25"/>
        <v>0.5773827017325518</v>
      </c>
      <c r="K105" t="str">
        <f t="shared" si="14"/>
        <v>Tottenham Hotspur</v>
      </c>
      <c r="L105">
        <f t="shared" ca="1" si="15"/>
        <v>2</v>
      </c>
      <c r="M105" t="str">
        <f t="shared" si="16"/>
        <v>Arsenal</v>
      </c>
      <c r="N105">
        <f t="shared" ca="1" si="17"/>
        <v>1</v>
      </c>
      <c r="O105" t="str">
        <f t="shared" ca="1" si="18"/>
        <v>Tottenham Hotspur</v>
      </c>
      <c r="P105" t="str">
        <f t="shared" ca="1" si="19"/>
        <v>Arsenal</v>
      </c>
      <c r="Q105" t="str">
        <f t="shared" ca="1" si="20"/>
        <v>Not Draw</v>
      </c>
      <c r="R105" t="str">
        <f t="shared" ca="1" si="21"/>
        <v>Not Draw</v>
      </c>
    </row>
    <row r="106" spans="5:18" x14ac:dyDescent="0.3">
      <c r="E106">
        <v>105</v>
      </c>
      <c r="F106" t="s">
        <v>11</v>
      </c>
      <c r="H106" t="s">
        <v>10</v>
      </c>
      <c r="I106">
        <f t="shared" ca="1" si="25"/>
        <v>0.95296657765987969</v>
      </c>
      <c r="K106" t="str">
        <f t="shared" si="14"/>
        <v>Crystal Palace</v>
      </c>
      <c r="L106">
        <f t="shared" ca="1" si="15"/>
        <v>0</v>
      </c>
      <c r="M106" t="str">
        <f t="shared" si="16"/>
        <v>Brighton</v>
      </c>
      <c r="N106">
        <f t="shared" ca="1" si="17"/>
        <v>2</v>
      </c>
      <c r="O106" t="str">
        <f t="shared" ca="1" si="18"/>
        <v>Brighton</v>
      </c>
      <c r="P106" t="str">
        <f t="shared" ca="1" si="19"/>
        <v>Crystal Palace</v>
      </c>
      <c r="Q106" t="str">
        <f t="shared" ca="1" si="20"/>
        <v>Not Draw</v>
      </c>
      <c r="R106" t="str">
        <f t="shared" ca="1" si="21"/>
        <v>Not Draw</v>
      </c>
    </row>
    <row r="107" spans="5:18" x14ac:dyDescent="0.3">
      <c r="E107">
        <v>106</v>
      </c>
      <c r="F107" t="s">
        <v>12</v>
      </c>
      <c r="H107" t="s">
        <v>7</v>
      </c>
      <c r="I107">
        <f t="shared" ca="1" si="25"/>
        <v>2.7507777952129331E-4</v>
      </c>
      <c r="K107" t="str">
        <f t="shared" si="14"/>
        <v>Southampton</v>
      </c>
      <c r="L107">
        <f t="shared" ca="1" si="15"/>
        <v>2</v>
      </c>
      <c r="M107" t="str">
        <f t="shared" si="16"/>
        <v>Burnley</v>
      </c>
      <c r="N107">
        <f t="shared" ca="1" si="17"/>
        <v>4</v>
      </c>
      <c r="O107" t="str">
        <f t="shared" ca="1" si="18"/>
        <v>Burnley</v>
      </c>
      <c r="P107" t="str">
        <f t="shared" ca="1" si="19"/>
        <v>Southampton</v>
      </c>
      <c r="Q107" t="str">
        <f t="shared" ca="1" si="20"/>
        <v>Not Draw</v>
      </c>
      <c r="R107" t="str">
        <f t="shared" ca="1" si="21"/>
        <v>Not Draw</v>
      </c>
    </row>
    <row r="108" spans="5:18" x14ac:dyDescent="0.3">
      <c r="E108">
        <v>107</v>
      </c>
      <c r="F108" t="s">
        <v>17</v>
      </c>
      <c r="H108" t="s">
        <v>16</v>
      </c>
      <c r="I108">
        <f t="shared" ca="1" si="25"/>
        <v>0.18871117078022581</v>
      </c>
      <c r="K108" t="str">
        <f t="shared" si="14"/>
        <v>Stoke City</v>
      </c>
      <c r="L108">
        <f t="shared" ca="1" si="15"/>
        <v>4</v>
      </c>
      <c r="M108" t="str">
        <f t="shared" si="16"/>
        <v>West Ham United</v>
      </c>
      <c r="N108">
        <f t="shared" ca="1" si="17"/>
        <v>2</v>
      </c>
      <c r="O108" t="str">
        <f t="shared" ca="1" si="18"/>
        <v>Stoke City</v>
      </c>
      <c r="P108" t="str">
        <f t="shared" ca="1" si="19"/>
        <v>West Ham United</v>
      </c>
      <c r="Q108" t="str">
        <f t="shared" ca="1" si="20"/>
        <v>Not Draw</v>
      </c>
      <c r="R108" t="str">
        <f t="shared" ca="1" si="21"/>
        <v>Not Draw</v>
      </c>
    </row>
    <row r="109" spans="5:18" x14ac:dyDescent="0.3">
      <c r="E109">
        <v>108</v>
      </c>
      <c r="F109" t="s">
        <v>23</v>
      </c>
      <c r="H109" t="s">
        <v>0</v>
      </c>
      <c r="I109">
        <f t="shared" ca="1" si="25"/>
        <v>0.25710938495061897</v>
      </c>
      <c r="K109" t="str">
        <f t="shared" si="14"/>
        <v>Newcastle</v>
      </c>
      <c r="L109">
        <f t="shared" ca="1" si="15"/>
        <v>1</v>
      </c>
      <c r="M109" t="str">
        <f t="shared" si="16"/>
        <v>Manchester City</v>
      </c>
      <c r="N109">
        <f t="shared" ca="1" si="17"/>
        <v>2</v>
      </c>
      <c r="O109" t="str">
        <f t="shared" ca="1" si="18"/>
        <v>Manchester City</v>
      </c>
      <c r="P109" t="str">
        <f t="shared" ca="1" si="19"/>
        <v>Newcastle</v>
      </c>
      <c r="Q109" t="str">
        <f t="shared" ca="1" si="20"/>
        <v>Not Draw</v>
      </c>
      <c r="R109" t="str">
        <f t="shared" ca="1" si="21"/>
        <v>Not Draw</v>
      </c>
    </row>
    <row r="110" spans="5:18" x14ac:dyDescent="0.3">
      <c r="E110">
        <v>109</v>
      </c>
      <c r="F110" t="s">
        <v>9</v>
      </c>
      <c r="H110" t="s">
        <v>13</v>
      </c>
      <c r="I110">
        <f t="shared" ca="1" si="25"/>
        <v>0.76931672915265359</v>
      </c>
      <c r="K110" t="str">
        <f t="shared" si="14"/>
        <v>Bournemouth</v>
      </c>
      <c r="L110">
        <f t="shared" ca="1" si="15"/>
        <v>3</v>
      </c>
      <c r="M110" t="str">
        <f t="shared" si="16"/>
        <v>Swansea City</v>
      </c>
      <c r="N110">
        <f t="shared" ca="1" si="17"/>
        <v>0</v>
      </c>
      <c r="O110" t="str">
        <f t="shared" ca="1" si="18"/>
        <v>Bournemouth</v>
      </c>
      <c r="P110" t="str">
        <f t="shared" ca="1" si="19"/>
        <v>Swansea City</v>
      </c>
      <c r="Q110" t="str">
        <f t="shared" ca="1" si="20"/>
        <v>Not Draw</v>
      </c>
      <c r="R110" t="str">
        <f t="shared" ca="1" si="21"/>
        <v>Not Draw</v>
      </c>
    </row>
    <row r="111" spans="5:18" x14ac:dyDescent="0.3">
      <c r="F111">
        <v>11</v>
      </c>
      <c r="K111">
        <f t="shared" si="14"/>
        <v>11</v>
      </c>
      <c r="L111" t="e">
        <f t="shared" ca="1" si="15"/>
        <v>#N/A</v>
      </c>
      <c r="M111">
        <f t="shared" si="16"/>
        <v>0</v>
      </c>
      <c r="N111" t="e">
        <f t="shared" ca="1" si="17"/>
        <v>#N/A</v>
      </c>
      <c r="O111" t="e">
        <f t="shared" ca="1" si="18"/>
        <v>#N/A</v>
      </c>
      <c r="P111" t="e">
        <f t="shared" ca="1" si="19"/>
        <v>#N/A</v>
      </c>
      <c r="Q111" t="e">
        <f t="shared" ca="1" si="20"/>
        <v>#N/A</v>
      </c>
      <c r="R111" t="e">
        <f t="shared" ca="1" si="21"/>
        <v>#N/A</v>
      </c>
    </row>
    <row r="112" spans="5:18" x14ac:dyDescent="0.3">
      <c r="E112">
        <v>110</v>
      </c>
      <c r="F112" t="s">
        <v>9</v>
      </c>
      <c r="H112" t="s">
        <v>4</v>
      </c>
      <c r="I112">
        <f t="shared" ref="I112:I121" ca="1" si="26">IF(F112="No Team",-1,RAND())</f>
        <v>0.38783687604904682</v>
      </c>
      <c r="K112" t="str">
        <f t="shared" si="14"/>
        <v>Bournemouth</v>
      </c>
      <c r="L112">
        <f t="shared" ca="1" si="15"/>
        <v>1</v>
      </c>
      <c r="M112" t="str">
        <f t="shared" si="16"/>
        <v>Tottenham Hotspur</v>
      </c>
      <c r="N112">
        <f t="shared" ca="1" si="17"/>
        <v>1</v>
      </c>
      <c r="O112" t="str">
        <f t="shared" ca="1" si="18"/>
        <v>Draw</v>
      </c>
      <c r="P112" t="str">
        <f t="shared" ca="1" si="19"/>
        <v>Draw</v>
      </c>
      <c r="Q112" t="str">
        <f t="shared" ca="1" si="20"/>
        <v>Bournemouth</v>
      </c>
      <c r="R112" t="str">
        <f t="shared" ca="1" si="21"/>
        <v>Tottenham Hotspur</v>
      </c>
    </row>
    <row r="113" spans="5:21" x14ac:dyDescent="0.3">
      <c r="E113">
        <v>111</v>
      </c>
      <c r="F113" t="s">
        <v>17</v>
      </c>
      <c r="H113" t="s">
        <v>5</v>
      </c>
      <c r="I113">
        <f t="shared" ca="1" si="26"/>
        <v>0.53364097279381062</v>
      </c>
      <c r="K113" t="str">
        <f t="shared" si="14"/>
        <v>Stoke City</v>
      </c>
      <c r="L113">
        <f t="shared" ca="1" si="15"/>
        <v>2</v>
      </c>
      <c r="M113" t="str">
        <f t="shared" si="16"/>
        <v>Liverpool</v>
      </c>
      <c r="N113">
        <f t="shared" ca="1" si="17"/>
        <v>3</v>
      </c>
      <c r="O113" t="str">
        <f t="shared" ca="1" si="18"/>
        <v>Liverpool</v>
      </c>
      <c r="P113" t="str">
        <f t="shared" ca="1" si="19"/>
        <v>Stoke City</v>
      </c>
      <c r="Q113" t="str">
        <f t="shared" ca="1" si="20"/>
        <v>Not Draw</v>
      </c>
      <c r="R113" t="str">
        <f t="shared" ca="1" si="21"/>
        <v>Not Draw</v>
      </c>
    </row>
    <row r="114" spans="5:21" x14ac:dyDescent="0.3">
      <c r="E114">
        <v>112</v>
      </c>
      <c r="F114" t="s">
        <v>10</v>
      </c>
      <c r="H114" t="s">
        <v>15</v>
      </c>
      <c r="I114">
        <f t="shared" ca="1" si="26"/>
        <v>0.38110801882035794</v>
      </c>
      <c r="K114" t="str">
        <f t="shared" si="14"/>
        <v>Brighton</v>
      </c>
      <c r="L114">
        <f t="shared" ca="1" si="15"/>
        <v>6</v>
      </c>
      <c r="M114" t="str">
        <f t="shared" si="16"/>
        <v>West Bromwich</v>
      </c>
      <c r="N114">
        <f t="shared" ca="1" si="17"/>
        <v>1</v>
      </c>
      <c r="O114" t="str">
        <f t="shared" ca="1" si="18"/>
        <v>Brighton</v>
      </c>
      <c r="P114" t="str">
        <f t="shared" ca="1" si="19"/>
        <v>West Bromwich</v>
      </c>
      <c r="Q114" t="str">
        <f t="shared" ca="1" si="20"/>
        <v>Not Draw</v>
      </c>
      <c r="R114" t="str">
        <f t="shared" ca="1" si="21"/>
        <v>Not Draw</v>
      </c>
    </row>
    <row r="115" spans="5:21" x14ac:dyDescent="0.3">
      <c r="E115">
        <v>113</v>
      </c>
      <c r="F115" t="s">
        <v>12</v>
      </c>
      <c r="H115" t="s">
        <v>8</v>
      </c>
      <c r="I115">
        <f t="shared" ca="1" si="26"/>
        <v>0.53555645123735907</v>
      </c>
      <c r="K115" t="str">
        <f t="shared" si="14"/>
        <v>Southampton</v>
      </c>
      <c r="L115">
        <f t="shared" ca="1" si="15"/>
        <v>1</v>
      </c>
      <c r="M115" t="str">
        <f t="shared" si="16"/>
        <v>Watford</v>
      </c>
      <c r="N115">
        <f t="shared" ca="1" si="17"/>
        <v>2</v>
      </c>
      <c r="O115" t="str">
        <f t="shared" ca="1" si="18"/>
        <v>Watford</v>
      </c>
      <c r="P115" t="str">
        <f t="shared" ca="1" si="19"/>
        <v>Southampton</v>
      </c>
      <c r="Q115" t="str">
        <f t="shared" ca="1" si="20"/>
        <v>Not Draw</v>
      </c>
      <c r="R115" t="str">
        <f t="shared" ca="1" si="21"/>
        <v>Not Draw</v>
      </c>
    </row>
    <row r="116" spans="5:21" x14ac:dyDescent="0.3">
      <c r="E116">
        <v>114</v>
      </c>
      <c r="F116" t="s">
        <v>23</v>
      </c>
      <c r="H116" t="s">
        <v>14</v>
      </c>
      <c r="I116">
        <f t="shared" ca="1" si="26"/>
        <v>0.67877012457885411</v>
      </c>
      <c r="K116" t="str">
        <f t="shared" si="14"/>
        <v>Newcastle</v>
      </c>
      <c r="L116">
        <f t="shared" ca="1" si="15"/>
        <v>0</v>
      </c>
      <c r="M116" t="str">
        <f t="shared" si="16"/>
        <v>Huddersfield</v>
      </c>
      <c r="N116">
        <f t="shared" ca="1" si="17"/>
        <v>1</v>
      </c>
      <c r="O116" t="str">
        <f t="shared" ca="1" si="18"/>
        <v>Huddersfield</v>
      </c>
      <c r="P116" t="str">
        <f t="shared" ca="1" si="19"/>
        <v>Newcastle</v>
      </c>
      <c r="Q116" t="str">
        <f t="shared" ca="1" si="20"/>
        <v>Not Draw</v>
      </c>
      <c r="R116" t="str">
        <f t="shared" ca="1" si="21"/>
        <v>Not Draw</v>
      </c>
    </row>
    <row r="117" spans="5:21" x14ac:dyDescent="0.3">
      <c r="E117">
        <v>115</v>
      </c>
      <c r="F117" t="s">
        <v>0</v>
      </c>
      <c r="H117" t="s">
        <v>18</v>
      </c>
      <c r="I117">
        <f t="shared" ca="1" si="26"/>
        <v>0.24739391610104411</v>
      </c>
      <c r="K117" t="str">
        <f t="shared" si="14"/>
        <v>Manchester City</v>
      </c>
      <c r="L117">
        <f t="shared" ca="1" si="15"/>
        <v>0</v>
      </c>
      <c r="M117" t="str">
        <f t="shared" si="16"/>
        <v>Leicester City</v>
      </c>
      <c r="N117">
        <f t="shared" ca="1" si="17"/>
        <v>3</v>
      </c>
      <c r="O117" t="str">
        <f t="shared" ca="1" si="18"/>
        <v>Leicester City</v>
      </c>
      <c r="P117" t="str">
        <f t="shared" ca="1" si="19"/>
        <v>Manchester City</v>
      </c>
      <c r="Q117" t="str">
        <f t="shared" ca="1" si="20"/>
        <v>Not Draw</v>
      </c>
      <c r="R117" t="str">
        <f t="shared" ca="1" si="21"/>
        <v>Not Draw</v>
      </c>
    </row>
    <row r="118" spans="5:21" x14ac:dyDescent="0.3">
      <c r="E118">
        <v>116</v>
      </c>
      <c r="F118" t="s">
        <v>7</v>
      </c>
      <c r="H118" t="s">
        <v>6</v>
      </c>
      <c r="I118">
        <f t="shared" ca="1" si="26"/>
        <v>0.93594411821613799</v>
      </c>
      <c r="K118" t="str">
        <f t="shared" si="14"/>
        <v>Burnley</v>
      </c>
      <c r="L118">
        <f t="shared" ca="1" si="15"/>
        <v>0</v>
      </c>
      <c r="M118" t="str">
        <f t="shared" si="16"/>
        <v>Everton</v>
      </c>
      <c r="N118">
        <f t="shared" ca="1" si="17"/>
        <v>2</v>
      </c>
      <c r="O118" t="str">
        <f t="shared" ca="1" si="18"/>
        <v>Everton</v>
      </c>
      <c r="P118" t="str">
        <f t="shared" ca="1" si="19"/>
        <v>Burnley</v>
      </c>
      <c r="Q118" t="str">
        <f t="shared" ca="1" si="20"/>
        <v>Not Draw</v>
      </c>
      <c r="R118" t="str">
        <f t="shared" ca="1" si="21"/>
        <v>Not Draw</v>
      </c>
    </row>
    <row r="119" spans="5:21" x14ac:dyDescent="0.3">
      <c r="E119">
        <v>117</v>
      </c>
      <c r="F119" t="s">
        <v>16</v>
      </c>
      <c r="H119" t="s">
        <v>2</v>
      </c>
      <c r="I119">
        <f t="shared" ca="1" si="26"/>
        <v>0.99895055156570611</v>
      </c>
      <c r="K119" t="str">
        <f t="shared" si="14"/>
        <v>West Ham United</v>
      </c>
      <c r="L119">
        <f t="shared" ca="1" si="15"/>
        <v>1</v>
      </c>
      <c r="M119" t="str">
        <f t="shared" si="16"/>
        <v>Chelsea</v>
      </c>
      <c r="N119">
        <f t="shared" ca="1" si="17"/>
        <v>2</v>
      </c>
      <c r="O119" t="str">
        <f t="shared" ca="1" si="18"/>
        <v>Chelsea</v>
      </c>
      <c r="P119" t="str">
        <f t="shared" ca="1" si="19"/>
        <v>West Ham United</v>
      </c>
      <c r="Q119" t="str">
        <f t="shared" ca="1" si="20"/>
        <v>Not Draw</v>
      </c>
      <c r="R119" t="str">
        <f t="shared" ca="1" si="21"/>
        <v>Not Draw</v>
      </c>
    </row>
    <row r="120" spans="5:21" x14ac:dyDescent="0.3">
      <c r="E120">
        <v>118</v>
      </c>
      <c r="F120" t="s">
        <v>3</v>
      </c>
      <c r="H120" t="s">
        <v>13</v>
      </c>
      <c r="I120">
        <f t="shared" ca="1" si="26"/>
        <v>9.8532820262104526E-2</v>
      </c>
      <c r="K120" t="str">
        <f t="shared" si="14"/>
        <v>Arsenal</v>
      </c>
      <c r="L120">
        <f t="shared" ca="1" si="15"/>
        <v>0</v>
      </c>
      <c r="M120" t="str">
        <f t="shared" si="16"/>
        <v>Swansea City</v>
      </c>
      <c r="N120">
        <f t="shared" ca="1" si="17"/>
        <v>1</v>
      </c>
      <c r="O120" t="str">
        <f t="shared" ca="1" si="18"/>
        <v>Swansea City</v>
      </c>
      <c r="P120" t="str">
        <f t="shared" ca="1" si="19"/>
        <v>Arsenal</v>
      </c>
      <c r="Q120" t="str">
        <f t="shared" ca="1" si="20"/>
        <v>Not Draw</v>
      </c>
      <c r="R120" t="str">
        <f t="shared" ca="1" si="21"/>
        <v>Not Draw</v>
      </c>
    </row>
    <row r="121" spans="5:21" x14ac:dyDescent="0.3">
      <c r="E121">
        <v>119</v>
      </c>
      <c r="F121" t="s">
        <v>11</v>
      </c>
      <c r="H121" t="s">
        <v>1</v>
      </c>
      <c r="I121">
        <f t="shared" ca="1" si="26"/>
        <v>0.3213336564080147</v>
      </c>
      <c r="K121" t="str">
        <f t="shared" si="14"/>
        <v>Crystal Palace</v>
      </c>
      <c r="L121">
        <f t="shared" ca="1" si="15"/>
        <v>1</v>
      </c>
      <c r="M121" t="str">
        <f t="shared" si="16"/>
        <v>Manchester United</v>
      </c>
      <c r="N121">
        <f t="shared" ca="1" si="17"/>
        <v>3</v>
      </c>
      <c r="O121" t="str">
        <f t="shared" ca="1" si="18"/>
        <v>Manchester United</v>
      </c>
      <c r="P121" t="str">
        <f t="shared" ca="1" si="19"/>
        <v>Crystal Palace</v>
      </c>
      <c r="Q121" t="str">
        <f t="shared" ca="1" si="20"/>
        <v>Not Draw</v>
      </c>
      <c r="R121" t="str">
        <f t="shared" ca="1" si="21"/>
        <v>Not Draw</v>
      </c>
    </row>
    <row r="122" spans="5:21" x14ac:dyDescent="0.3">
      <c r="F122">
        <v>12</v>
      </c>
      <c r="K122">
        <f t="shared" si="14"/>
        <v>12</v>
      </c>
      <c r="L122" t="e">
        <f t="shared" ca="1" si="15"/>
        <v>#N/A</v>
      </c>
      <c r="M122">
        <f t="shared" si="16"/>
        <v>0</v>
      </c>
      <c r="N122" t="e">
        <f t="shared" ca="1" si="17"/>
        <v>#N/A</v>
      </c>
      <c r="O122" t="e">
        <f t="shared" ca="1" si="18"/>
        <v>#N/A</v>
      </c>
      <c r="P122" t="e">
        <f t="shared" ca="1" si="19"/>
        <v>#N/A</v>
      </c>
      <c r="Q122" t="e">
        <f t="shared" ca="1" si="20"/>
        <v>#N/A</v>
      </c>
      <c r="R122" t="e">
        <f t="shared" ca="1" si="21"/>
        <v>#N/A</v>
      </c>
    </row>
    <row r="123" spans="5:21" x14ac:dyDescent="0.3">
      <c r="E123">
        <v>120</v>
      </c>
      <c r="F123" t="s">
        <v>1</v>
      </c>
      <c r="H123" t="s">
        <v>23</v>
      </c>
      <c r="I123">
        <f t="shared" ref="I123:I132" ca="1" si="27">IF(F123="No Team",-1,RAND())</f>
        <v>0.24871521749131698</v>
      </c>
      <c r="J123" s="1"/>
      <c r="K123" t="str">
        <f t="shared" si="14"/>
        <v>Manchester United</v>
      </c>
      <c r="L123">
        <f t="shared" ca="1" si="15"/>
        <v>4</v>
      </c>
      <c r="M123" t="str">
        <f t="shared" si="16"/>
        <v>Newcastle</v>
      </c>
      <c r="N123">
        <f t="shared" ca="1" si="17"/>
        <v>0</v>
      </c>
      <c r="O123" t="str">
        <f t="shared" ca="1" si="18"/>
        <v>Manchester United</v>
      </c>
      <c r="P123" t="str">
        <f t="shared" ca="1" si="19"/>
        <v>Newcastle</v>
      </c>
      <c r="Q123" t="str">
        <f t="shared" ca="1" si="20"/>
        <v>Not Draw</v>
      </c>
      <c r="R123" t="str">
        <f t="shared" ca="1" si="21"/>
        <v>Not Draw</v>
      </c>
      <c r="S123" s="1"/>
      <c r="T123" s="1"/>
      <c r="U123" s="1"/>
    </row>
    <row r="124" spans="5:21" x14ac:dyDescent="0.3">
      <c r="E124">
        <v>121</v>
      </c>
      <c r="F124" t="s">
        <v>4</v>
      </c>
      <c r="H124" t="s">
        <v>11</v>
      </c>
      <c r="I124">
        <f t="shared" ca="1" si="27"/>
        <v>0.78573346098175745</v>
      </c>
      <c r="J124" s="1"/>
      <c r="K124" t="str">
        <f t="shared" si="14"/>
        <v>Tottenham Hotspur</v>
      </c>
      <c r="L124">
        <f t="shared" ca="1" si="15"/>
        <v>2</v>
      </c>
      <c r="M124" t="str">
        <f t="shared" si="16"/>
        <v>Crystal Palace</v>
      </c>
      <c r="N124">
        <f t="shared" ca="1" si="17"/>
        <v>2</v>
      </c>
      <c r="O124" t="str">
        <f t="shared" ca="1" si="18"/>
        <v>Draw</v>
      </c>
      <c r="P124" t="str">
        <f t="shared" ca="1" si="19"/>
        <v>Draw</v>
      </c>
      <c r="Q124" t="str">
        <f t="shared" ca="1" si="20"/>
        <v>Tottenham Hotspur</v>
      </c>
      <c r="R124" t="str">
        <f t="shared" ca="1" si="21"/>
        <v>Crystal Palace</v>
      </c>
      <c r="S124" s="1"/>
      <c r="T124" s="1"/>
      <c r="U124" s="1"/>
    </row>
    <row r="125" spans="5:21" x14ac:dyDescent="0.3">
      <c r="E125">
        <v>122</v>
      </c>
      <c r="F125" t="s">
        <v>14</v>
      </c>
      <c r="H125" t="s">
        <v>12</v>
      </c>
      <c r="I125">
        <f t="shared" ca="1" si="27"/>
        <v>0.92567282267097506</v>
      </c>
      <c r="J125" s="1"/>
      <c r="K125" t="str">
        <f t="shared" si="14"/>
        <v>Huddersfield</v>
      </c>
      <c r="L125">
        <f t="shared" ca="1" si="15"/>
        <v>2</v>
      </c>
      <c r="M125" t="str">
        <f t="shared" si="16"/>
        <v>Southampton</v>
      </c>
      <c r="N125">
        <f t="shared" ca="1" si="17"/>
        <v>3</v>
      </c>
      <c r="O125" t="str">
        <f t="shared" ca="1" si="18"/>
        <v>Southampton</v>
      </c>
      <c r="P125" t="str">
        <f t="shared" ca="1" si="19"/>
        <v>Huddersfield</v>
      </c>
      <c r="Q125" t="str">
        <f t="shared" ca="1" si="20"/>
        <v>Not Draw</v>
      </c>
      <c r="R125" t="str">
        <f t="shared" ca="1" si="21"/>
        <v>Not Draw</v>
      </c>
      <c r="S125" s="1"/>
      <c r="T125" s="1"/>
      <c r="U125" s="1"/>
    </row>
    <row r="126" spans="5:21" x14ac:dyDescent="0.3">
      <c r="E126">
        <v>123</v>
      </c>
      <c r="F126" t="s">
        <v>5</v>
      </c>
      <c r="H126" t="s">
        <v>9</v>
      </c>
      <c r="I126">
        <f t="shared" ca="1" si="27"/>
        <v>0.55731058702817204</v>
      </c>
      <c r="J126" s="1"/>
      <c r="K126" t="str">
        <f t="shared" si="14"/>
        <v>Liverpool</v>
      </c>
      <c r="L126">
        <f t="shared" ca="1" si="15"/>
        <v>2</v>
      </c>
      <c r="M126" t="str">
        <f t="shared" si="16"/>
        <v>Bournemouth</v>
      </c>
      <c r="N126">
        <f t="shared" ca="1" si="17"/>
        <v>0</v>
      </c>
      <c r="O126" t="str">
        <f t="shared" ca="1" si="18"/>
        <v>Liverpool</v>
      </c>
      <c r="P126" t="str">
        <f t="shared" ca="1" si="19"/>
        <v>Bournemouth</v>
      </c>
      <c r="Q126" t="str">
        <f t="shared" ca="1" si="20"/>
        <v>Not Draw</v>
      </c>
      <c r="R126" t="str">
        <f t="shared" ca="1" si="21"/>
        <v>Not Draw</v>
      </c>
      <c r="S126" s="1"/>
      <c r="T126" s="1"/>
      <c r="U126" s="1"/>
    </row>
    <row r="127" spans="5:21" x14ac:dyDescent="0.3">
      <c r="E127">
        <v>124</v>
      </c>
      <c r="F127" t="s">
        <v>13</v>
      </c>
      <c r="H127" t="s">
        <v>10</v>
      </c>
      <c r="I127">
        <f t="shared" ca="1" si="27"/>
        <v>0.55698150981652395</v>
      </c>
      <c r="J127" s="1"/>
      <c r="K127" t="str">
        <f t="shared" si="14"/>
        <v>Swansea City</v>
      </c>
      <c r="L127">
        <f t="shared" ca="1" si="15"/>
        <v>2</v>
      </c>
      <c r="M127" t="str">
        <f t="shared" si="16"/>
        <v>Brighton</v>
      </c>
      <c r="N127">
        <f t="shared" ca="1" si="17"/>
        <v>2</v>
      </c>
      <c r="O127" t="str">
        <f t="shared" ca="1" si="18"/>
        <v>Draw</v>
      </c>
      <c r="P127" t="str">
        <f t="shared" ca="1" si="19"/>
        <v>Draw</v>
      </c>
      <c r="Q127" t="str">
        <f t="shared" ca="1" si="20"/>
        <v>Swansea City</v>
      </c>
      <c r="R127" t="str">
        <f t="shared" ca="1" si="21"/>
        <v>Brighton</v>
      </c>
      <c r="S127" s="1"/>
      <c r="T127" s="1"/>
      <c r="U127" s="1"/>
    </row>
    <row r="128" spans="5:21" x14ac:dyDescent="0.3">
      <c r="E128">
        <v>125</v>
      </c>
      <c r="F128" t="s">
        <v>8</v>
      </c>
      <c r="H128" t="s">
        <v>17</v>
      </c>
      <c r="I128">
        <f t="shared" ca="1" si="27"/>
        <v>0.51742909554387939</v>
      </c>
      <c r="J128" s="1"/>
      <c r="K128" t="str">
        <f t="shared" si="14"/>
        <v>Watford</v>
      </c>
      <c r="L128">
        <f t="shared" ca="1" si="15"/>
        <v>2</v>
      </c>
      <c r="M128" t="str">
        <f t="shared" si="16"/>
        <v>Stoke City</v>
      </c>
      <c r="N128">
        <f t="shared" ca="1" si="17"/>
        <v>1</v>
      </c>
      <c r="O128" t="str">
        <f t="shared" ca="1" si="18"/>
        <v>Watford</v>
      </c>
      <c r="P128" t="str">
        <f t="shared" ca="1" si="19"/>
        <v>Stoke City</v>
      </c>
      <c r="Q128" t="str">
        <f t="shared" ca="1" si="20"/>
        <v>Not Draw</v>
      </c>
      <c r="R128" t="str">
        <f t="shared" ca="1" si="21"/>
        <v>Not Draw</v>
      </c>
      <c r="S128" s="1"/>
      <c r="T128" s="1"/>
      <c r="U128" s="1"/>
    </row>
    <row r="129" spans="5:21" x14ac:dyDescent="0.3">
      <c r="E129">
        <v>126</v>
      </c>
      <c r="F129" t="s">
        <v>2</v>
      </c>
      <c r="H129" t="s">
        <v>3</v>
      </c>
      <c r="I129">
        <f t="shared" ca="1" si="27"/>
        <v>0.16007910701074235</v>
      </c>
      <c r="J129" s="1"/>
      <c r="K129" t="str">
        <f t="shared" si="14"/>
        <v>Chelsea</v>
      </c>
      <c r="L129">
        <f t="shared" ca="1" si="15"/>
        <v>2</v>
      </c>
      <c r="M129" t="str">
        <f t="shared" si="16"/>
        <v>Arsenal</v>
      </c>
      <c r="N129">
        <f t="shared" ca="1" si="17"/>
        <v>2</v>
      </c>
      <c r="O129" t="str">
        <f t="shared" ca="1" si="18"/>
        <v>Draw</v>
      </c>
      <c r="P129" t="str">
        <f t="shared" ca="1" si="19"/>
        <v>Draw</v>
      </c>
      <c r="Q129" t="str">
        <f t="shared" ca="1" si="20"/>
        <v>Chelsea</v>
      </c>
      <c r="R129" t="str">
        <f t="shared" ca="1" si="21"/>
        <v>Arsenal</v>
      </c>
      <c r="S129" s="1"/>
      <c r="T129" s="1"/>
      <c r="U129" s="1"/>
    </row>
    <row r="130" spans="5:21" x14ac:dyDescent="0.3">
      <c r="E130">
        <v>127</v>
      </c>
      <c r="F130" t="s">
        <v>15</v>
      </c>
      <c r="H130" t="s">
        <v>0</v>
      </c>
      <c r="I130">
        <f t="shared" ca="1" si="27"/>
        <v>0.40402086080581967</v>
      </c>
      <c r="J130" s="1"/>
      <c r="K130" t="str">
        <f t="shared" si="14"/>
        <v>West Bromwich</v>
      </c>
      <c r="L130">
        <f t="shared" ca="1" si="15"/>
        <v>2</v>
      </c>
      <c r="M130" t="str">
        <f t="shared" si="16"/>
        <v>Manchester City</v>
      </c>
      <c r="N130">
        <f t="shared" ca="1" si="17"/>
        <v>0</v>
      </c>
      <c r="O130" t="str">
        <f t="shared" ca="1" si="18"/>
        <v>West Bromwich</v>
      </c>
      <c r="P130" t="str">
        <f t="shared" ca="1" si="19"/>
        <v>Manchester City</v>
      </c>
      <c r="Q130" t="str">
        <f t="shared" ca="1" si="20"/>
        <v>Not Draw</v>
      </c>
      <c r="R130" t="str">
        <f t="shared" ca="1" si="21"/>
        <v>Not Draw</v>
      </c>
      <c r="S130" s="1"/>
      <c r="T130" s="1"/>
      <c r="U130" s="1"/>
    </row>
    <row r="131" spans="5:21" x14ac:dyDescent="0.3">
      <c r="E131">
        <v>128</v>
      </c>
      <c r="F131" t="s">
        <v>18</v>
      </c>
      <c r="H131" t="s">
        <v>7</v>
      </c>
      <c r="I131">
        <f t="shared" ca="1" si="27"/>
        <v>2.7314572068823928E-3</v>
      </c>
      <c r="J131" s="1"/>
      <c r="K131" t="str">
        <f t="shared" ref="K131:K194" si="28">F131</f>
        <v>Leicester City</v>
      </c>
      <c r="L131">
        <f t="shared" ref="L131:L194" ca="1" si="29">MAX(0,(VLOOKUP(RAND(),$S$2:$T$9,2,1)+(IF(RAND()+((VLOOKUP(K131,$B$23:$C$42,2,1)-VLOOKUP(M131,$B$23:$C$42,2,1))/2)&gt;0.9,1,0)+(IF(RAND()+((VLOOKUP(K131,$B$23:$C$42,2,1)-VLOOKUP(M131,$B$23:$C$42,2,1))/2)&lt;0,-1,0)))))</f>
        <v>3</v>
      </c>
      <c r="M131" t="str">
        <f t="shared" ref="M131:M194" si="30">H131</f>
        <v>Burnley</v>
      </c>
      <c r="N131">
        <f t="shared" ref="N131:N194" ca="1" si="31">MAX(0,(VLOOKUP(RAND(),$S$2:$T$9,2,1)+(IF(RAND()+((VLOOKUP(M131,$B$23:$C$42,2,1)-VLOOKUP(K131,$B$23:$C$42,2,1))/2)&gt;0.95,1,0)+(IF(RAND()+((VLOOKUP(M131,$B$23:$C$42,2,1)-VLOOKUP(K131,$B$23:$C$42,2,1))/2)&lt;0,-1,0)))))</f>
        <v>1</v>
      </c>
      <c r="O131" t="str">
        <f t="shared" ref="O131:O194" ca="1" si="32">IF(L131=N131,"Draw",IF(L131&gt;N131,K131,M131))</f>
        <v>Leicester City</v>
      </c>
      <c r="P131" t="str">
        <f t="shared" ref="P131:P194" ca="1" si="33">IF(O131="Draw","Draw",IF(O131=K131,M131,K131))</f>
        <v>Burnley</v>
      </c>
      <c r="Q131" t="str">
        <f t="shared" ref="Q131:Q194" ca="1" si="34">IF(L131=N131,K131,"Not Draw")</f>
        <v>Not Draw</v>
      </c>
      <c r="R131" t="str">
        <f t="shared" ref="R131:R194" ca="1" si="35">IF(L131=N131,M131,"Not Draw")</f>
        <v>Not Draw</v>
      </c>
      <c r="S131" s="1"/>
      <c r="T131" s="1"/>
      <c r="U131" s="1"/>
    </row>
    <row r="132" spans="5:21" x14ac:dyDescent="0.3">
      <c r="E132">
        <v>129</v>
      </c>
      <c r="F132" t="s">
        <v>6</v>
      </c>
      <c r="H132" t="s">
        <v>16</v>
      </c>
      <c r="I132">
        <f t="shared" ca="1" si="27"/>
        <v>0.16881536269142983</v>
      </c>
      <c r="J132" s="1"/>
      <c r="K132" t="str">
        <f t="shared" si="28"/>
        <v>Everton</v>
      </c>
      <c r="L132">
        <f t="shared" ca="1" si="29"/>
        <v>2</v>
      </c>
      <c r="M132" t="str">
        <f t="shared" si="30"/>
        <v>West Ham United</v>
      </c>
      <c r="N132">
        <f t="shared" ca="1" si="31"/>
        <v>2</v>
      </c>
      <c r="O132" t="str">
        <f t="shared" ca="1" si="32"/>
        <v>Draw</v>
      </c>
      <c r="P132" t="str">
        <f t="shared" ca="1" si="33"/>
        <v>Draw</v>
      </c>
      <c r="Q132" t="str">
        <f t="shared" ca="1" si="34"/>
        <v>Everton</v>
      </c>
      <c r="R132" t="str">
        <f t="shared" ca="1" si="35"/>
        <v>West Ham United</v>
      </c>
      <c r="S132" s="1"/>
      <c r="T132" s="1"/>
      <c r="U132" s="1"/>
    </row>
    <row r="133" spans="5:21" x14ac:dyDescent="0.3">
      <c r="F133">
        <v>13</v>
      </c>
      <c r="K133">
        <f t="shared" si="28"/>
        <v>13</v>
      </c>
      <c r="L133" t="e">
        <f t="shared" ca="1" si="29"/>
        <v>#N/A</v>
      </c>
      <c r="M133">
        <f t="shared" si="30"/>
        <v>0</v>
      </c>
      <c r="N133" t="e">
        <f t="shared" ca="1" si="31"/>
        <v>#N/A</v>
      </c>
      <c r="O133" t="e">
        <f t="shared" ca="1" si="32"/>
        <v>#N/A</v>
      </c>
      <c r="P133" t="e">
        <f t="shared" ca="1" si="33"/>
        <v>#N/A</v>
      </c>
      <c r="Q133" t="e">
        <f t="shared" ca="1" si="34"/>
        <v>#N/A</v>
      </c>
      <c r="R133" t="e">
        <f t="shared" ca="1" si="35"/>
        <v>#N/A</v>
      </c>
    </row>
    <row r="134" spans="5:21" x14ac:dyDescent="0.3">
      <c r="E134">
        <v>130</v>
      </c>
      <c r="F134" t="s">
        <v>9</v>
      </c>
      <c r="H134" t="s">
        <v>8</v>
      </c>
      <c r="I134">
        <f t="shared" ref="I134:I143" ca="1" si="36">IF(F134="No Team",-1,RAND())</f>
        <v>0.37593196003915386</v>
      </c>
      <c r="K134" t="str">
        <f t="shared" si="28"/>
        <v>Bournemouth</v>
      </c>
      <c r="L134">
        <f t="shared" ca="1" si="29"/>
        <v>0</v>
      </c>
      <c r="M134" t="str">
        <f t="shared" si="30"/>
        <v>Watford</v>
      </c>
      <c r="N134">
        <f t="shared" ca="1" si="31"/>
        <v>0</v>
      </c>
      <c r="O134" t="str">
        <f t="shared" ca="1" si="32"/>
        <v>Draw</v>
      </c>
      <c r="P134" t="str">
        <f t="shared" ca="1" si="33"/>
        <v>Draw</v>
      </c>
      <c r="Q134" t="str">
        <f t="shared" ca="1" si="34"/>
        <v>Bournemouth</v>
      </c>
      <c r="R134" t="str">
        <f t="shared" ca="1" si="35"/>
        <v>Watford</v>
      </c>
    </row>
    <row r="135" spans="5:21" x14ac:dyDescent="0.3">
      <c r="E135">
        <v>131</v>
      </c>
      <c r="F135" t="s">
        <v>16</v>
      </c>
      <c r="H135" t="s">
        <v>18</v>
      </c>
      <c r="I135">
        <f t="shared" ca="1" si="36"/>
        <v>0.43848251698694074</v>
      </c>
      <c r="K135" t="str">
        <f t="shared" si="28"/>
        <v>West Ham United</v>
      </c>
      <c r="L135">
        <f t="shared" ca="1" si="29"/>
        <v>0</v>
      </c>
      <c r="M135" t="str">
        <f t="shared" si="30"/>
        <v>Leicester City</v>
      </c>
      <c r="N135">
        <f t="shared" ca="1" si="31"/>
        <v>1</v>
      </c>
      <c r="O135" t="str">
        <f t="shared" ca="1" si="32"/>
        <v>Leicester City</v>
      </c>
      <c r="P135" t="str">
        <f t="shared" ca="1" si="33"/>
        <v>West Ham United</v>
      </c>
      <c r="Q135" t="str">
        <f t="shared" ca="1" si="34"/>
        <v>Not Draw</v>
      </c>
      <c r="R135" t="str">
        <f t="shared" ca="1" si="35"/>
        <v>Not Draw</v>
      </c>
    </row>
    <row r="136" spans="5:21" x14ac:dyDescent="0.3">
      <c r="E136">
        <v>132</v>
      </c>
      <c r="F136" t="s">
        <v>10</v>
      </c>
      <c r="H136" t="s">
        <v>2</v>
      </c>
      <c r="I136">
        <f t="shared" ca="1" si="36"/>
        <v>0.10010466584053535</v>
      </c>
      <c r="K136" t="str">
        <f t="shared" si="28"/>
        <v>Brighton</v>
      </c>
      <c r="L136">
        <f t="shared" ca="1" si="29"/>
        <v>0</v>
      </c>
      <c r="M136" t="str">
        <f t="shared" si="30"/>
        <v>Chelsea</v>
      </c>
      <c r="N136">
        <f t="shared" ca="1" si="31"/>
        <v>2</v>
      </c>
      <c r="O136" t="str">
        <f t="shared" ca="1" si="32"/>
        <v>Chelsea</v>
      </c>
      <c r="P136" t="str">
        <f t="shared" ca="1" si="33"/>
        <v>Brighton</v>
      </c>
      <c r="Q136" t="str">
        <f t="shared" ca="1" si="34"/>
        <v>Not Draw</v>
      </c>
      <c r="R136" t="str">
        <f t="shared" ca="1" si="35"/>
        <v>Not Draw</v>
      </c>
    </row>
    <row r="137" spans="5:21" x14ac:dyDescent="0.3">
      <c r="E137">
        <v>133</v>
      </c>
      <c r="F137" t="s">
        <v>23</v>
      </c>
      <c r="H137" t="s">
        <v>4</v>
      </c>
      <c r="I137">
        <f t="shared" ca="1" si="36"/>
        <v>0.74060076279680442</v>
      </c>
      <c r="K137" t="str">
        <f t="shared" si="28"/>
        <v>Newcastle</v>
      </c>
      <c r="L137">
        <f t="shared" ca="1" si="29"/>
        <v>0</v>
      </c>
      <c r="M137" t="str">
        <f t="shared" si="30"/>
        <v>Tottenham Hotspur</v>
      </c>
      <c r="N137">
        <f t="shared" ca="1" si="31"/>
        <v>5</v>
      </c>
      <c r="O137" t="str">
        <f t="shared" ca="1" si="32"/>
        <v>Tottenham Hotspur</v>
      </c>
      <c r="P137" t="str">
        <f t="shared" ca="1" si="33"/>
        <v>Newcastle</v>
      </c>
      <c r="Q137" t="str">
        <f t="shared" ca="1" si="34"/>
        <v>Not Draw</v>
      </c>
      <c r="R137" t="str">
        <f t="shared" ca="1" si="35"/>
        <v>Not Draw</v>
      </c>
    </row>
    <row r="138" spans="5:21" x14ac:dyDescent="0.3">
      <c r="E138">
        <v>134</v>
      </c>
      <c r="F138" t="s">
        <v>7</v>
      </c>
      <c r="H138" t="s">
        <v>15</v>
      </c>
      <c r="I138">
        <f t="shared" ca="1" si="36"/>
        <v>0.21698637102144358</v>
      </c>
      <c r="K138" t="str">
        <f t="shared" si="28"/>
        <v>Burnley</v>
      </c>
      <c r="L138">
        <f t="shared" ca="1" si="29"/>
        <v>0</v>
      </c>
      <c r="M138" t="str">
        <f t="shared" si="30"/>
        <v>West Bromwich</v>
      </c>
      <c r="N138">
        <f t="shared" ca="1" si="31"/>
        <v>2</v>
      </c>
      <c r="O138" t="str">
        <f t="shared" ca="1" si="32"/>
        <v>West Bromwich</v>
      </c>
      <c r="P138" t="str">
        <f t="shared" ca="1" si="33"/>
        <v>Burnley</v>
      </c>
      <c r="Q138" t="str">
        <f t="shared" ca="1" si="34"/>
        <v>Not Draw</v>
      </c>
      <c r="R138" t="str">
        <f t="shared" ca="1" si="35"/>
        <v>Not Draw</v>
      </c>
    </row>
    <row r="139" spans="5:21" x14ac:dyDescent="0.3">
      <c r="E139">
        <v>135</v>
      </c>
      <c r="F139" t="s">
        <v>12</v>
      </c>
      <c r="H139" t="s">
        <v>1</v>
      </c>
      <c r="I139">
        <f t="shared" ca="1" si="36"/>
        <v>0.65937872532194886</v>
      </c>
      <c r="K139" t="str">
        <f t="shared" si="28"/>
        <v>Southampton</v>
      </c>
      <c r="L139">
        <f t="shared" ca="1" si="29"/>
        <v>0</v>
      </c>
      <c r="M139" t="str">
        <f t="shared" si="30"/>
        <v>Manchester United</v>
      </c>
      <c r="N139">
        <f t="shared" ca="1" si="31"/>
        <v>2</v>
      </c>
      <c r="O139" t="str">
        <f t="shared" ca="1" si="32"/>
        <v>Manchester United</v>
      </c>
      <c r="P139" t="str">
        <f t="shared" ca="1" si="33"/>
        <v>Southampton</v>
      </c>
      <c r="Q139" t="str">
        <f t="shared" ca="1" si="34"/>
        <v>Not Draw</v>
      </c>
      <c r="R139" t="str">
        <f t="shared" ca="1" si="35"/>
        <v>Not Draw</v>
      </c>
    </row>
    <row r="140" spans="5:21" x14ac:dyDescent="0.3">
      <c r="E140">
        <v>136</v>
      </c>
      <c r="F140" t="s">
        <v>17</v>
      </c>
      <c r="H140" t="s">
        <v>14</v>
      </c>
      <c r="I140">
        <f t="shared" ca="1" si="36"/>
        <v>0.99233073625580226</v>
      </c>
      <c r="K140" t="str">
        <f t="shared" si="28"/>
        <v>Stoke City</v>
      </c>
      <c r="L140">
        <f t="shared" ca="1" si="29"/>
        <v>4</v>
      </c>
      <c r="M140" t="str">
        <f t="shared" si="30"/>
        <v>Huddersfield</v>
      </c>
      <c r="N140">
        <f t="shared" ca="1" si="31"/>
        <v>2</v>
      </c>
      <c r="O140" t="str">
        <f t="shared" ca="1" si="32"/>
        <v>Stoke City</v>
      </c>
      <c r="P140" t="str">
        <f t="shared" ca="1" si="33"/>
        <v>Huddersfield</v>
      </c>
      <c r="Q140" t="str">
        <f t="shared" ca="1" si="34"/>
        <v>Not Draw</v>
      </c>
      <c r="R140" t="str">
        <f t="shared" ca="1" si="35"/>
        <v>Not Draw</v>
      </c>
    </row>
    <row r="141" spans="5:21" x14ac:dyDescent="0.3">
      <c r="E141">
        <v>137</v>
      </c>
      <c r="F141" t="s">
        <v>11</v>
      </c>
      <c r="H141" t="s">
        <v>5</v>
      </c>
      <c r="I141">
        <f t="shared" ca="1" si="36"/>
        <v>0.38121652372046766</v>
      </c>
      <c r="K141" t="str">
        <f t="shared" si="28"/>
        <v>Crystal Palace</v>
      </c>
      <c r="L141">
        <f t="shared" ca="1" si="29"/>
        <v>4</v>
      </c>
      <c r="M141" t="str">
        <f t="shared" si="30"/>
        <v>Liverpool</v>
      </c>
      <c r="N141">
        <f t="shared" ca="1" si="31"/>
        <v>0</v>
      </c>
      <c r="O141" t="str">
        <f t="shared" ca="1" si="32"/>
        <v>Crystal Palace</v>
      </c>
      <c r="P141" t="str">
        <f t="shared" ca="1" si="33"/>
        <v>Liverpool</v>
      </c>
      <c r="Q141" t="str">
        <f t="shared" ca="1" si="34"/>
        <v>Not Draw</v>
      </c>
      <c r="R141" t="str">
        <f t="shared" ca="1" si="35"/>
        <v>Not Draw</v>
      </c>
    </row>
    <row r="142" spans="5:21" x14ac:dyDescent="0.3">
      <c r="E142">
        <v>138</v>
      </c>
      <c r="F142" t="s">
        <v>0</v>
      </c>
      <c r="H142" t="s">
        <v>13</v>
      </c>
      <c r="I142">
        <f t="shared" ca="1" si="36"/>
        <v>0.77823503542841499</v>
      </c>
      <c r="K142" t="str">
        <f t="shared" si="28"/>
        <v>Manchester City</v>
      </c>
      <c r="L142">
        <f t="shared" ca="1" si="29"/>
        <v>3</v>
      </c>
      <c r="M142" t="str">
        <f t="shared" si="30"/>
        <v>Swansea City</v>
      </c>
      <c r="N142">
        <f t="shared" ca="1" si="31"/>
        <v>4</v>
      </c>
      <c r="O142" t="str">
        <f t="shared" ca="1" si="32"/>
        <v>Swansea City</v>
      </c>
      <c r="P142" t="str">
        <f t="shared" ca="1" si="33"/>
        <v>Manchester City</v>
      </c>
      <c r="Q142" t="str">
        <f t="shared" ca="1" si="34"/>
        <v>Not Draw</v>
      </c>
      <c r="R142" t="str">
        <f t="shared" ca="1" si="35"/>
        <v>Not Draw</v>
      </c>
    </row>
    <row r="143" spans="5:21" x14ac:dyDescent="0.3">
      <c r="E143">
        <v>139</v>
      </c>
      <c r="F143" t="s">
        <v>3</v>
      </c>
      <c r="H143" t="s">
        <v>6</v>
      </c>
      <c r="I143">
        <f t="shared" ca="1" si="36"/>
        <v>0.31156226441433521</v>
      </c>
      <c r="K143" t="str">
        <f t="shared" si="28"/>
        <v>Arsenal</v>
      </c>
      <c r="L143">
        <f t="shared" ca="1" si="29"/>
        <v>2</v>
      </c>
      <c r="M143" t="str">
        <f t="shared" si="30"/>
        <v>Everton</v>
      </c>
      <c r="N143">
        <f t="shared" ca="1" si="31"/>
        <v>0</v>
      </c>
      <c r="O143" t="str">
        <f t="shared" ca="1" si="32"/>
        <v>Arsenal</v>
      </c>
      <c r="P143" t="str">
        <f t="shared" ca="1" si="33"/>
        <v>Everton</v>
      </c>
      <c r="Q143" t="str">
        <f t="shared" ca="1" si="34"/>
        <v>Not Draw</v>
      </c>
      <c r="R143" t="str">
        <f t="shared" ca="1" si="35"/>
        <v>Not Draw</v>
      </c>
    </row>
    <row r="144" spans="5:21" x14ac:dyDescent="0.3">
      <c r="F144">
        <v>14</v>
      </c>
      <c r="K144">
        <f t="shared" si="28"/>
        <v>14</v>
      </c>
      <c r="L144" t="e">
        <f t="shared" ca="1" si="29"/>
        <v>#N/A</v>
      </c>
      <c r="M144">
        <f t="shared" si="30"/>
        <v>0</v>
      </c>
      <c r="N144" t="e">
        <f t="shared" ca="1" si="31"/>
        <v>#N/A</v>
      </c>
      <c r="O144" t="e">
        <f t="shared" ca="1" si="32"/>
        <v>#N/A</v>
      </c>
      <c r="P144" t="e">
        <f t="shared" ca="1" si="33"/>
        <v>#N/A</v>
      </c>
      <c r="Q144" t="e">
        <f t="shared" ca="1" si="34"/>
        <v>#N/A</v>
      </c>
      <c r="R144" t="e">
        <f t="shared" ca="1" si="35"/>
        <v>#N/A</v>
      </c>
    </row>
    <row r="145" spans="5:18" x14ac:dyDescent="0.3">
      <c r="E145">
        <v>140</v>
      </c>
      <c r="F145" t="s">
        <v>8</v>
      </c>
      <c r="H145" t="s">
        <v>11</v>
      </c>
      <c r="I145">
        <f t="shared" ref="I145:I154" ca="1" si="37">IF(F145="No Team",-1,RAND())</f>
        <v>1.9503871520654914E-2</v>
      </c>
      <c r="K145" t="str">
        <f t="shared" si="28"/>
        <v>Watford</v>
      </c>
      <c r="L145">
        <f t="shared" ca="1" si="29"/>
        <v>5</v>
      </c>
      <c r="M145" t="str">
        <f t="shared" si="30"/>
        <v>Crystal Palace</v>
      </c>
      <c r="N145">
        <f t="shared" ca="1" si="31"/>
        <v>0</v>
      </c>
      <c r="O145" t="str">
        <f t="shared" ca="1" si="32"/>
        <v>Watford</v>
      </c>
      <c r="P145" t="str">
        <f t="shared" ca="1" si="33"/>
        <v>Crystal Palace</v>
      </c>
      <c r="Q145" t="str">
        <f t="shared" ca="1" si="34"/>
        <v>Not Draw</v>
      </c>
      <c r="R145" t="str">
        <f t="shared" ca="1" si="35"/>
        <v>Not Draw</v>
      </c>
    </row>
    <row r="146" spans="5:18" x14ac:dyDescent="0.3">
      <c r="E146">
        <v>141</v>
      </c>
      <c r="F146" t="s">
        <v>15</v>
      </c>
      <c r="H146" t="s">
        <v>16</v>
      </c>
      <c r="I146">
        <f t="shared" ca="1" si="37"/>
        <v>0.94031895042455438</v>
      </c>
      <c r="K146" t="str">
        <f t="shared" si="28"/>
        <v>West Bromwich</v>
      </c>
      <c r="L146">
        <f t="shared" ca="1" si="29"/>
        <v>2</v>
      </c>
      <c r="M146" t="str">
        <f t="shared" si="30"/>
        <v>West Ham United</v>
      </c>
      <c r="N146">
        <f t="shared" ca="1" si="31"/>
        <v>2</v>
      </c>
      <c r="O146" t="str">
        <f t="shared" ca="1" si="32"/>
        <v>Draw</v>
      </c>
      <c r="P146" t="str">
        <f t="shared" ca="1" si="33"/>
        <v>Draw</v>
      </c>
      <c r="Q146" t="str">
        <f t="shared" ca="1" si="34"/>
        <v>West Bromwich</v>
      </c>
      <c r="R146" t="str">
        <f t="shared" ca="1" si="35"/>
        <v>West Ham United</v>
      </c>
    </row>
    <row r="147" spans="5:18" x14ac:dyDescent="0.3">
      <c r="E147">
        <v>142</v>
      </c>
      <c r="F147" t="s">
        <v>18</v>
      </c>
      <c r="H147" t="s">
        <v>3</v>
      </c>
      <c r="I147">
        <f t="shared" ca="1" si="37"/>
        <v>0.5927991957131219</v>
      </c>
      <c r="K147" t="str">
        <f t="shared" si="28"/>
        <v>Leicester City</v>
      </c>
      <c r="L147">
        <f t="shared" ca="1" si="29"/>
        <v>2</v>
      </c>
      <c r="M147" t="str">
        <f t="shared" si="30"/>
        <v>Arsenal</v>
      </c>
      <c r="N147">
        <f t="shared" ca="1" si="31"/>
        <v>1</v>
      </c>
      <c r="O147" t="str">
        <f t="shared" ca="1" si="32"/>
        <v>Leicester City</v>
      </c>
      <c r="P147" t="str">
        <f t="shared" ca="1" si="33"/>
        <v>Arsenal</v>
      </c>
      <c r="Q147" t="str">
        <f t="shared" ca="1" si="34"/>
        <v>Not Draw</v>
      </c>
      <c r="R147" t="str">
        <f t="shared" ca="1" si="35"/>
        <v>Not Draw</v>
      </c>
    </row>
    <row r="148" spans="5:18" x14ac:dyDescent="0.3">
      <c r="E148">
        <v>143</v>
      </c>
      <c r="F148" t="s">
        <v>14</v>
      </c>
      <c r="H148" t="s">
        <v>9</v>
      </c>
      <c r="I148">
        <f t="shared" ca="1" si="37"/>
        <v>0.5601437617358721</v>
      </c>
      <c r="K148" t="str">
        <f t="shared" si="28"/>
        <v>Huddersfield</v>
      </c>
      <c r="L148">
        <f t="shared" ca="1" si="29"/>
        <v>2</v>
      </c>
      <c r="M148" t="str">
        <f t="shared" si="30"/>
        <v>Bournemouth</v>
      </c>
      <c r="N148">
        <f t="shared" ca="1" si="31"/>
        <v>0</v>
      </c>
      <c r="O148" t="str">
        <f t="shared" ca="1" si="32"/>
        <v>Huddersfield</v>
      </c>
      <c r="P148" t="str">
        <f t="shared" ca="1" si="33"/>
        <v>Bournemouth</v>
      </c>
      <c r="Q148" t="str">
        <f t="shared" ca="1" si="34"/>
        <v>Not Draw</v>
      </c>
      <c r="R148" t="str">
        <f t="shared" ca="1" si="35"/>
        <v>Not Draw</v>
      </c>
    </row>
    <row r="149" spans="5:18" x14ac:dyDescent="0.3">
      <c r="E149">
        <v>144</v>
      </c>
      <c r="F149" t="s">
        <v>4</v>
      </c>
      <c r="H149" t="s">
        <v>12</v>
      </c>
      <c r="I149">
        <f t="shared" ca="1" si="37"/>
        <v>0.61858446172096881</v>
      </c>
      <c r="K149" t="str">
        <f t="shared" si="28"/>
        <v>Tottenham Hotspur</v>
      </c>
      <c r="L149">
        <f t="shared" ca="1" si="29"/>
        <v>2</v>
      </c>
      <c r="M149" t="str">
        <f t="shared" si="30"/>
        <v>Southampton</v>
      </c>
      <c r="N149">
        <f t="shared" ca="1" si="31"/>
        <v>2</v>
      </c>
      <c r="O149" t="str">
        <f t="shared" ca="1" si="32"/>
        <v>Draw</v>
      </c>
      <c r="P149" t="str">
        <f t="shared" ca="1" si="33"/>
        <v>Draw</v>
      </c>
      <c r="Q149" t="str">
        <f t="shared" ca="1" si="34"/>
        <v>Tottenham Hotspur</v>
      </c>
      <c r="R149" t="str">
        <f t="shared" ca="1" si="35"/>
        <v>Southampton</v>
      </c>
    </row>
    <row r="150" spans="5:18" x14ac:dyDescent="0.3">
      <c r="E150">
        <v>145</v>
      </c>
      <c r="F150" t="s">
        <v>5</v>
      </c>
      <c r="H150" t="s">
        <v>23</v>
      </c>
      <c r="I150">
        <f t="shared" ca="1" si="37"/>
        <v>0.13329393575465842</v>
      </c>
      <c r="K150" t="str">
        <f t="shared" si="28"/>
        <v>Liverpool</v>
      </c>
      <c r="L150">
        <f t="shared" ca="1" si="29"/>
        <v>0</v>
      </c>
      <c r="M150" t="str">
        <f t="shared" si="30"/>
        <v>Newcastle</v>
      </c>
      <c r="N150">
        <f t="shared" ca="1" si="31"/>
        <v>0</v>
      </c>
      <c r="O150" t="str">
        <f t="shared" ca="1" si="32"/>
        <v>Draw</v>
      </c>
      <c r="P150" t="str">
        <f t="shared" ca="1" si="33"/>
        <v>Draw</v>
      </c>
      <c r="Q150" t="str">
        <f t="shared" ca="1" si="34"/>
        <v>Liverpool</v>
      </c>
      <c r="R150" t="str">
        <f t="shared" ca="1" si="35"/>
        <v>Newcastle</v>
      </c>
    </row>
    <row r="151" spans="5:18" x14ac:dyDescent="0.3">
      <c r="E151">
        <v>146</v>
      </c>
      <c r="F151" t="s">
        <v>13</v>
      </c>
      <c r="H151" t="s">
        <v>7</v>
      </c>
      <c r="I151">
        <f t="shared" ca="1" si="37"/>
        <v>0.56095963938779203</v>
      </c>
      <c r="K151" t="str">
        <f t="shared" si="28"/>
        <v>Swansea City</v>
      </c>
      <c r="L151">
        <f t="shared" ca="1" si="29"/>
        <v>1</v>
      </c>
      <c r="M151" t="str">
        <f t="shared" si="30"/>
        <v>Burnley</v>
      </c>
      <c r="N151">
        <f t="shared" ca="1" si="31"/>
        <v>2</v>
      </c>
      <c r="O151" t="str">
        <f t="shared" ca="1" si="32"/>
        <v>Burnley</v>
      </c>
      <c r="P151" t="str">
        <f t="shared" ca="1" si="33"/>
        <v>Swansea City</v>
      </c>
      <c r="Q151" t="str">
        <f t="shared" ca="1" si="34"/>
        <v>Not Draw</v>
      </c>
      <c r="R151" t="str">
        <f t="shared" ca="1" si="35"/>
        <v>Not Draw</v>
      </c>
    </row>
    <row r="152" spans="5:18" x14ac:dyDescent="0.3">
      <c r="E152">
        <v>147</v>
      </c>
      <c r="F152" t="s">
        <v>6</v>
      </c>
      <c r="H152" t="s">
        <v>10</v>
      </c>
      <c r="I152">
        <f t="shared" ca="1" si="37"/>
        <v>2.1171632183556111E-2</v>
      </c>
      <c r="K152" t="str">
        <f t="shared" si="28"/>
        <v>Everton</v>
      </c>
      <c r="L152">
        <f t="shared" ca="1" si="29"/>
        <v>2</v>
      </c>
      <c r="M152" t="str">
        <f t="shared" si="30"/>
        <v>Brighton</v>
      </c>
      <c r="N152">
        <f t="shared" ca="1" si="31"/>
        <v>1</v>
      </c>
      <c r="O152" t="str">
        <f t="shared" ca="1" si="32"/>
        <v>Everton</v>
      </c>
      <c r="P152" t="str">
        <f t="shared" ca="1" si="33"/>
        <v>Brighton</v>
      </c>
      <c r="Q152" t="str">
        <f t="shared" ca="1" si="34"/>
        <v>Not Draw</v>
      </c>
      <c r="R152" t="str">
        <f t="shared" ca="1" si="35"/>
        <v>Not Draw</v>
      </c>
    </row>
    <row r="153" spans="5:18" x14ac:dyDescent="0.3">
      <c r="E153">
        <v>148</v>
      </c>
      <c r="F153" t="s">
        <v>2</v>
      </c>
      <c r="H153" t="s">
        <v>0</v>
      </c>
      <c r="I153">
        <f t="shared" ca="1" si="37"/>
        <v>0.95620737042454196</v>
      </c>
      <c r="K153" t="str">
        <f t="shared" si="28"/>
        <v>Chelsea</v>
      </c>
      <c r="L153">
        <f t="shared" ca="1" si="29"/>
        <v>0</v>
      </c>
      <c r="M153" t="str">
        <f t="shared" si="30"/>
        <v>Manchester City</v>
      </c>
      <c r="N153">
        <f t="shared" ca="1" si="31"/>
        <v>2</v>
      </c>
      <c r="O153" t="str">
        <f t="shared" ca="1" si="32"/>
        <v>Manchester City</v>
      </c>
      <c r="P153" t="str">
        <f t="shared" ca="1" si="33"/>
        <v>Chelsea</v>
      </c>
      <c r="Q153" t="str">
        <f t="shared" ca="1" si="34"/>
        <v>Not Draw</v>
      </c>
      <c r="R153" t="str">
        <f t="shared" ca="1" si="35"/>
        <v>Not Draw</v>
      </c>
    </row>
    <row r="154" spans="5:18" x14ac:dyDescent="0.3">
      <c r="E154">
        <v>149</v>
      </c>
      <c r="F154" t="s">
        <v>1</v>
      </c>
      <c r="H154" t="s">
        <v>17</v>
      </c>
      <c r="I154">
        <f t="shared" ca="1" si="37"/>
        <v>0.13339776095484956</v>
      </c>
      <c r="K154" t="str">
        <f t="shared" si="28"/>
        <v>Manchester United</v>
      </c>
      <c r="L154">
        <f t="shared" ca="1" si="29"/>
        <v>3</v>
      </c>
      <c r="M154" t="str">
        <f t="shared" si="30"/>
        <v>Stoke City</v>
      </c>
      <c r="N154">
        <f t="shared" ca="1" si="31"/>
        <v>1</v>
      </c>
      <c r="O154" t="str">
        <f t="shared" ca="1" si="32"/>
        <v>Manchester United</v>
      </c>
      <c r="P154" t="str">
        <f t="shared" ca="1" si="33"/>
        <v>Stoke City</v>
      </c>
      <c r="Q154" t="str">
        <f t="shared" ca="1" si="34"/>
        <v>Not Draw</v>
      </c>
      <c r="R154" t="str">
        <f t="shared" ca="1" si="35"/>
        <v>Not Draw</v>
      </c>
    </row>
    <row r="155" spans="5:18" x14ac:dyDescent="0.3">
      <c r="F155">
        <v>15</v>
      </c>
      <c r="K155">
        <f t="shared" si="28"/>
        <v>15</v>
      </c>
      <c r="L155" t="e">
        <f t="shared" ca="1" si="29"/>
        <v>#N/A</v>
      </c>
      <c r="M155">
        <f t="shared" si="30"/>
        <v>0</v>
      </c>
      <c r="N155" t="e">
        <f t="shared" ca="1" si="31"/>
        <v>#N/A</v>
      </c>
      <c r="O155" t="e">
        <f t="shared" ca="1" si="32"/>
        <v>#N/A</v>
      </c>
      <c r="P155" t="e">
        <f t="shared" ca="1" si="33"/>
        <v>#N/A</v>
      </c>
      <c r="Q155" t="e">
        <f t="shared" ca="1" si="34"/>
        <v>#N/A</v>
      </c>
      <c r="R155" t="e">
        <f t="shared" ca="1" si="35"/>
        <v>#N/A</v>
      </c>
    </row>
    <row r="156" spans="5:18" x14ac:dyDescent="0.3">
      <c r="E156">
        <v>150</v>
      </c>
      <c r="F156" t="s">
        <v>3</v>
      </c>
      <c r="H156" t="s">
        <v>15</v>
      </c>
      <c r="I156">
        <f t="shared" ref="I156:I165" ca="1" si="38">IF(F156="No Team",-1,RAND())</f>
        <v>0.74026406525290345</v>
      </c>
      <c r="K156" t="str">
        <f t="shared" si="28"/>
        <v>Arsenal</v>
      </c>
      <c r="L156">
        <f t="shared" ca="1" si="29"/>
        <v>5</v>
      </c>
      <c r="M156" t="str">
        <f t="shared" si="30"/>
        <v>West Bromwich</v>
      </c>
      <c r="N156">
        <f t="shared" ca="1" si="31"/>
        <v>1</v>
      </c>
      <c r="O156" t="str">
        <f t="shared" ca="1" si="32"/>
        <v>Arsenal</v>
      </c>
      <c r="P156" t="str">
        <f t="shared" ca="1" si="33"/>
        <v>West Bromwich</v>
      </c>
      <c r="Q156" t="str">
        <f t="shared" ca="1" si="34"/>
        <v>Not Draw</v>
      </c>
      <c r="R156" t="str">
        <f t="shared" ca="1" si="35"/>
        <v>Not Draw</v>
      </c>
    </row>
    <row r="157" spans="5:18" x14ac:dyDescent="0.3">
      <c r="E157">
        <v>151</v>
      </c>
      <c r="F157" t="s">
        <v>17</v>
      </c>
      <c r="H157" t="s">
        <v>4</v>
      </c>
      <c r="I157">
        <f t="shared" ca="1" si="38"/>
        <v>0.88301710467567651</v>
      </c>
      <c r="K157" t="str">
        <f t="shared" si="28"/>
        <v>Stoke City</v>
      </c>
      <c r="L157">
        <f t="shared" ca="1" si="29"/>
        <v>3</v>
      </c>
      <c r="M157" t="str">
        <f t="shared" si="30"/>
        <v>Tottenham Hotspur</v>
      </c>
      <c r="N157">
        <f t="shared" ca="1" si="31"/>
        <v>1</v>
      </c>
      <c r="O157" t="str">
        <f t="shared" ca="1" si="32"/>
        <v>Stoke City</v>
      </c>
      <c r="P157" t="str">
        <f t="shared" ca="1" si="33"/>
        <v>Tottenham Hotspur</v>
      </c>
      <c r="Q157" t="str">
        <f t="shared" ca="1" si="34"/>
        <v>Not Draw</v>
      </c>
      <c r="R157" t="str">
        <f t="shared" ca="1" si="35"/>
        <v>Not Draw</v>
      </c>
    </row>
    <row r="158" spans="5:18" x14ac:dyDescent="0.3">
      <c r="E158">
        <v>152</v>
      </c>
      <c r="F158" t="s">
        <v>11</v>
      </c>
      <c r="H158" t="s">
        <v>14</v>
      </c>
      <c r="I158">
        <f t="shared" ca="1" si="38"/>
        <v>0.74619265641591914</v>
      </c>
      <c r="K158" t="str">
        <f t="shared" si="28"/>
        <v>Crystal Palace</v>
      </c>
      <c r="L158">
        <f t="shared" ca="1" si="29"/>
        <v>2</v>
      </c>
      <c r="M158" t="str">
        <f t="shared" si="30"/>
        <v>Huddersfield</v>
      </c>
      <c r="N158">
        <f t="shared" ca="1" si="31"/>
        <v>2</v>
      </c>
      <c r="O158" t="str">
        <f t="shared" ca="1" si="32"/>
        <v>Draw</v>
      </c>
      <c r="P158" t="str">
        <f t="shared" ca="1" si="33"/>
        <v>Draw</v>
      </c>
      <c r="Q158" t="str">
        <f t="shared" ca="1" si="34"/>
        <v>Crystal Palace</v>
      </c>
      <c r="R158" t="str">
        <f t="shared" ca="1" si="35"/>
        <v>Huddersfield</v>
      </c>
    </row>
    <row r="159" spans="5:18" x14ac:dyDescent="0.3">
      <c r="E159">
        <v>153</v>
      </c>
      <c r="F159" t="s">
        <v>12</v>
      </c>
      <c r="H159" t="s">
        <v>5</v>
      </c>
      <c r="I159">
        <f t="shared" ca="1" si="38"/>
        <v>0.80621333045232468</v>
      </c>
      <c r="K159" t="str">
        <f t="shared" si="28"/>
        <v>Southampton</v>
      </c>
      <c r="L159">
        <f t="shared" ca="1" si="29"/>
        <v>3</v>
      </c>
      <c r="M159" t="str">
        <f t="shared" si="30"/>
        <v>Liverpool</v>
      </c>
      <c r="N159">
        <f t="shared" ca="1" si="31"/>
        <v>2</v>
      </c>
      <c r="O159" t="str">
        <f t="shared" ca="1" si="32"/>
        <v>Southampton</v>
      </c>
      <c r="P159" t="str">
        <f t="shared" ca="1" si="33"/>
        <v>Liverpool</v>
      </c>
      <c r="Q159" t="str">
        <f t="shared" ca="1" si="34"/>
        <v>Not Draw</v>
      </c>
      <c r="R159" t="str">
        <f t="shared" ca="1" si="35"/>
        <v>Not Draw</v>
      </c>
    </row>
    <row r="160" spans="5:18" x14ac:dyDescent="0.3">
      <c r="E160">
        <v>154</v>
      </c>
      <c r="F160" t="s">
        <v>23</v>
      </c>
      <c r="H160" t="s">
        <v>8</v>
      </c>
      <c r="I160">
        <f t="shared" ca="1" si="38"/>
        <v>0.34011334512969604</v>
      </c>
      <c r="K160" t="str">
        <f t="shared" si="28"/>
        <v>Newcastle</v>
      </c>
      <c r="L160">
        <f t="shared" ca="1" si="29"/>
        <v>1</v>
      </c>
      <c r="M160" t="str">
        <f t="shared" si="30"/>
        <v>Watford</v>
      </c>
      <c r="N160">
        <f t="shared" ca="1" si="31"/>
        <v>2</v>
      </c>
      <c r="O160" t="str">
        <f t="shared" ca="1" si="32"/>
        <v>Watford</v>
      </c>
      <c r="P160" t="str">
        <f t="shared" ca="1" si="33"/>
        <v>Newcastle</v>
      </c>
      <c r="Q160" t="str">
        <f t="shared" ca="1" si="34"/>
        <v>Not Draw</v>
      </c>
      <c r="R160" t="str">
        <f t="shared" ca="1" si="35"/>
        <v>Not Draw</v>
      </c>
    </row>
    <row r="161" spans="2:18" x14ac:dyDescent="0.3">
      <c r="E161">
        <v>155</v>
      </c>
      <c r="F161" t="s">
        <v>16</v>
      </c>
      <c r="H161" t="s">
        <v>13</v>
      </c>
      <c r="I161">
        <f t="shared" ca="1" si="38"/>
        <v>0.59817449866702954</v>
      </c>
      <c r="K161" t="str">
        <f t="shared" si="28"/>
        <v>West Ham United</v>
      </c>
      <c r="L161">
        <f t="shared" ca="1" si="29"/>
        <v>2</v>
      </c>
      <c r="M161" t="str">
        <f t="shared" si="30"/>
        <v>Swansea City</v>
      </c>
      <c r="N161">
        <f t="shared" ca="1" si="31"/>
        <v>1</v>
      </c>
      <c r="O161" t="str">
        <f t="shared" ca="1" si="32"/>
        <v>West Ham United</v>
      </c>
      <c r="P161" t="str">
        <f t="shared" ca="1" si="33"/>
        <v>Swansea City</v>
      </c>
      <c r="Q161" t="str">
        <f t="shared" ca="1" si="34"/>
        <v>Not Draw</v>
      </c>
      <c r="R161" t="str">
        <f t="shared" ca="1" si="35"/>
        <v>Not Draw</v>
      </c>
    </row>
    <row r="162" spans="2:18" x14ac:dyDescent="0.3">
      <c r="E162">
        <v>156</v>
      </c>
      <c r="F162" t="s">
        <v>0</v>
      </c>
      <c r="H162" t="s">
        <v>6</v>
      </c>
      <c r="I162">
        <f t="shared" ca="1" si="38"/>
        <v>0.38873760410193581</v>
      </c>
      <c r="K162" t="str">
        <f t="shared" si="28"/>
        <v>Manchester City</v>
      </c>
      <c r="L162">
        <f t="shared" ca="1" si="29"/>
        <v>2</v>
      </c>
      <c r="M162" t="str">
        <f t="shared" si="30"/>
        <v>Everton</v>
      </c>
      <c r="N162">
        <f t="shared" ca="1" si="31"/>
        <v>1</v>
      </c>
      <c r="O162" t="str">
        <f t="shared" ca="1" si="32"/>
        <v>Manchester City</v>
      </c>
      <c r="P162" t="str">
        <f t="shared" ca="1" si="33"/>
        <v>Everton</v>
      </c>
      <c r="Q162" t="str">
        <f t="shared" ca="1" si="34"/>
        <v>Not Draw</v>
      </c>
      <c r="R162" t="str">
        <f t="shared" ca="1" si="35"/>
        <v>Not Draw</v>
      </c>
    </row>
    <row r="163" spans="2:18" x14ac:dyDescent="0.3">
      <c r="E163">
        <v>157</v>
      </c>
      <c r="F163" t="s">
        <v>9</v>
      </c>
      <c r="H163" t="s">
        <v>1</v>
      </c>
      <c r="I163">
        <f t="shared" ca="1" si="38"/>
        <v>0.17928696406120448</v>
      </c>
      <c r="K163" t="str">
        <f t="shared" si="28"/>
        <v>Bournemouth</v>
      </c>
      <c r="L163">
        <f t="shared" ca="1" si="29"/>
        <v>1</v>
      </c>
      <c r="M163" t="str">
        <f t="shared" si="30"/>
        <v>Manchester United</v>
      </c>
      <c r="N163">
        <f t="shared" ca="1" si="31"/>
        <v>1</v>
      </c>
      <c r="O163" t="str">
        <f t="shared" ca="1" si="32"/>
        <v>Draw</v>
      </c>
      <c r="P163" t="str">
        <f t="shared" ca="1" si="33"/>
        <v>Draw</v>
      </c>
      <c r="Q163" t="str">
        <f t="shared" ca="1" si="34"/>
        <v>Bournemouth</v>
      </c>
      <c r="R163" t="str">
        <f t="shared" ca="1" si="35"/>
        <v>Manchester United</v>
      </c>
    </row>
    <row r="164" spans="2:18" x14ac:dyDescent="0.3">
      <c r="E164">
        <v>158</v>
      </c>
      <c r="F164" t="s">
        <v>7</v>
      </c>
      <c r="H164" t="s">
        <v>2</v>
      </c>
      <c r="I164">
        <f t="shared" ca="1" si="38"/>
        <v>0.61197446117377718</v>
      </c>
      <c r="K164" t="str">
        <f t="shared" si="28"/>
        <v>Burnley</v>
      </c>
      <c r="L164">
        <f t="shared" ca="1" si="29"/>
        <v>0</v>
      </c>
      <c r="M164" t="str">
        <f t="shared" si="30"/>
        <v>Chelsea</v>
      </c>
      <c r="N164">
        <f t="shared" ca="1" si="31"/>
        <v>2</v>
      </c>
      <c r="O164" t="str">
        <f t="shared" ca="1" si="32"/>
        <v>Chelsea</v>
      </c>
      <c r="P164" t="str">
        <f t="shared" ca="1" si="33"/>
        <v>Burnley</v>
      </c>
      <c r="Q164" t="str">
        <f t="shared" ca="1" si="34"/>
        <v>Not Draw</v>
      </c>
      <c r="R164" t="str">
        <f t="shared" ca="1" si="35"/>
        <v>Not Draw</v>
      </c>
    </row>
    <row r="165" spans="2:18" x14ac:dyDescent="0.3">
      <c r="E165">
        <v>159</v>
      </c>
      <c r="F165" t="s">
        <v>10</v>
      </c>
      <c r="H165" t="s">
        <v>18</v>
      </c>
      <c r="I165">
        <f t="shared" ca="1" si="38"/>
        <v>0.72583850328197463</v>
      </c>
      <c r="K165" t="str">
        <f t="shared" si="28"/>
        <v>Brighton</v>
      </c>
      <c r="L165">
        <f t="shared" ca="1" si="29"/>
        <v>1</v>
      </c>
      <c r="M165" t="str">
        <f t="shared" si="30"/>
        <v>Leicester City</v>
      </c>
      <c r="N165">
        <f t="shared" ca="1" si="31"/>
        <v>1</v>
      </c>
      <c r="O165" t="str">
        <f t="shared" ca="1" si="32"/>
        <v>Draw</v>
      </c>
      <c r="P165" t="str">
        <f t="shared" ca="1" si="33"/>
        <v>Draw</v>
      </c>
      <c r="Q165" t="str">
        <f t="shared" ca="1" si="34"/>
        <v>Brighton</v>
      </c>
      <c r="R165" t="str">
        <f t="shared" ca="1" si="35"/>
        <v>Leicester City</v>
      </c>
    </row>
    <row r="166" spans="2:18" x14ac:dyDescent="0.3">
      <c r="F166">
        <v>16</v>
      </c>
      <c r="K166">
        <f t="shared" si="28"/>
        <v>16</v>
      </c>
      <c r="L166" t="e">
        <f t="shared" ca="1" si="29"/>
        <v>#N/A</v>
      </c>
      <c r="M166">
        <f t="shared" si="30"/>
        <v>0</v>
      </c>
      <c r="N166" t="e">
        <f t="shared" ca="1" si="31"/>
        <v>#N/A</v>
      </c>
      <c r="O166" t="e">
        <f t="shared" ca="1" si="32"/>
        <v>#N/A</v>
      </c>
      <c r="P166" t="e">
        <f t="shared" ca="1" si="33"/>
        <v>#N/A</v>
      </c>
      <c r="Q166" t="e">
        <f t="shared" ca="1" si="34"/>
        <v>#N/A</v>
      </c>
      <c r="R166" t="e">
        <f t="shared" ca="1" si="35"/>
        <v>#N/A</v>
      </c>
    </row>
    <row r="167" spans="2:18" x14ac:dyDescent="0.3">
      <c r="B167" t="s">
        <v>9</v>
      </c>
      <c r="D167" t="s">
        <v>8</v>
      </c>
      <c r="E167">
        <v>160</v>
      </c>
      <c r="F167" t="s">
        <v>1</v>
      </c>
      <c r="H167" t="s">
        <v>14</v>
      </c>
      <c r="I167">
        <f t="shared" ref="I167:I176" ca="1" si="39">IF(F167="No Team",-1,RAND())</f>
        <v>0.95795114272474002</v>
      </c>
      <c r="K167" t="str">
        <f t="shared" si="28"/>
        <v>Manchester United</v>
      </c>
      <c r="L167">
        <f t="shared" ca="1" si="29"/>
        <v>1</v>
      </c>
      <c r="M167" t="str">
        <f t="shared" si="30"/>
        <v>Huddersfield</v>
      </c>
      <c r="N167">
        <f t="shared" ca="1" si="31"/>
        <v>0</v>
      </c>
      <c r="O167" t="str">
        <f t="shared" ca="1" si="32"/>
        <v>Manchester United</v>
      </c>
      <c r="P167" t="str">
        <f t="shared" ca="1" si="33"/>
        <v>Huddersfield</v>
      </c>
      <c r="Q167" t="str">
        <f t="shared" ca="1" si="34"/>
        <v>Not Draw</v>
      </c>
      <c r="R167" t="str">
        <f t="shared" ca="1" si="35"/>
        <v>Not Draw</v>
      </c>
    </row>
    <row r="168" spans="2:18" x14ac:dyDescent="0.3">
      <c r="B168" t="s">
        <v>18</v>
      </c>
      <c r="D168" t="s">
        <v>12</v>
      </c>
      <c r="E168">
        <v>161</v>
      </c>
      <c r="F168" t="s">
        <v>18</v>
      </c>
      <c r="H168" t="s">
        <v>6</v>
      </c>
      <c r="I168">
        <f t="shared" ca="1" si="39"/>
        <v>0.39905473808000169</v>
      </c>
      <c r="K168" t="str">
        <f t="shared" si="28"/>
        <v>Leicester City</v>
      </c>
      <c r="L168">
        <f t="shared" ca="1" si="29"/>
        <v>1</v>
      </c>
      <c r="M168" t="str">
        <f t="shared" si="30"/>
        <v>Everton</v>
      </c>
      <c r="N168">
        <f t="shared" ca="1" si="31"/>
        <v>4</v>
      </c>
      <c r="O168" t="str">
        <f t="shared" ca="1" si="32"/>
        <v>Everton</v>
      </c>
      <c r="P168" t="str">
        <f t="shared" ca="1" si="33"/>
        <v>Leicester City</v>
      </c>
      <c r="Q168" t="str">
        <f t="shared" ca="1" si="34"/>
        <v>Not Draw</v>
      </c>
      <c r="R168" t="str">
        <f t="shared" ca="1" si="35"/>
        <v>Not Draw</v>
      </c>
    </row>
    <row r="169" spans="2:18" x14ac:dyDescent="0.3">
      <c r="B169" t="s">
        <v>14</v>
      </c>
      <c r="D169" t="s">
        <v>15</v>
      </c>
      <c r="E169">
        <v>162</v>
      </c>
      <c r="F169" t="s">
        <v>0</v>
      </c>
      <c r="H169" t="s">
        <v>7</v>
      </c>
      <c r="I169">
        <f t="shared" ca="1" si="39"/>
        <v>0.67764161938574485</v>
      </c>
      <c r="K169" t="str">
        <f t="shared" si="28"/>
        <v>Manchester City</v>
      </c>
      <c r="L169">
        <f t="shared" ca="1" si="29"/>
        <v>1</v>
      </c>
      <c r="M169" t="str">
        <f t="shared" si="30"/>
        <v>Burnley</v>
      </c>
      <c r="N169">
        <f t="shared" ca="1" si="31"/>
        <v>1</v>
      </c>
      <c r="O169" t="str">
        <f t="shared" ca="1" si="32"/>
        <v>Draw</v>
      </c>
      <c r="P169" t="str">
        <f t="shared" ca="1" si="33"/>
        <v>Draw</v>
      </c>
      <c r="Q169" t="str">
        <f t="shared" ca="1" si="34"/>
        <v>Manchester City</v>
      </c>
      <c r="R169" t="str">
        <f t="shared" ca="1" si="35"/>
        <v>Burnley</v>
      </c>
    </row>
    <row r="170" spans="2:18" x14ac:dyDescent="0.3">
      <c r="B170" t="s">
        <v>7</v>
      </c>
      <c r="D170" t="s">
        <v>3</v>
      </c>
      <c r="E170">
        <v>163</v>
      </c>
      <c r="F170" t="s">
        <v>8</v>
      </c>
      <c r="H170" t="s">
        <v>5</v>
      </c>
      <c r="I170">
        <f t="shared" ca="1" si="39"/>
        <v>9.128634624248777E-2</v>
      </c>
      <c r="K170" t="str">
        <f t="shared" si="28"/>
        <v>Watford</v>
      </c>
      <c r="L170">
        <f t="shared" ca="1" si="29"/>
        <v>0</v>
      </c>
      <c r="M170" t="str">
        <f t="shared" si="30"/>
        <v>Liverpool</v>
      </c>
      <c r="N170">
        <f t="shared" ca="1" si="31"/>
        <v>1</v>
      </c>
      <c r="O170" t="str">
        <f t="shared" ca="1" si="32"/>
        <v>Liverpool</v>
      </c>
      <c r="P170" t="str">
        <f t="shared" ca="1" si="33"/>
        <v>Watford</v>
      </c>
      <c r="Q170" t="str">
        <f t="shared" ca="1" si="34"/>
        <v>Not Draw</v>
      </c>
      <c r="R170" t="str">
        <f t="shared" ca="1" si="35"/>
        <v>Not Draw</v>
      </c>
    </row>
    <row r="171" spans="2:18" x14ac:dyDescent="0.3">
      <c r="B171" t="s">
        <v>4</v>
      </c>
      <c r="D171" t="s">
        <v>0</v>
      </c>
      <c r="E171">
        <v>164</v>
      </c>
      <c r="F171" t="s">
        <v>16</v>
      </c>
      <c r="H171" t="s">
        <v>3</v>
      </c>
      <c r="I171">
        <f t="shared" ca="1" si="39"/>
        <v>0.14911146368720296</v>
      </c>
      <c r="K171" t="str">
        <f t="shared" si="28"/>
        <v>West Ham United</v>
      </c>
      <c r="L171">
        <f t="shared" ca="1" si="29"/>
        <v>2</v>
      </c>
      <c r="M171" t="str">
        <f t="shared" si="30"/>
        <v>Arsenal</v>
      </c>
      <c r="N171">
        <f t="shared" ca="1" si="31"/>
        <v>3</v>
      </c>
      <c r="O171" t="str">
        <f t="shared" ca="1" si="32"/>
        <v>Arsenal</v>
      </c>
      <c r="P171" t="str">
        <f t="shared" ca="1" si="33"/>
        <v>West Ham United</v>
      </c>
      <c r="Q171" t="str">
        <f t="shared" ca="1" si="34"/>
        <v>Not Draw</v>
      </c>
      <c r="R171" t="str">
        <f t="shared" ca="1" si="35"/>
        <v>Not Draw</v>
      </c>
    </row>
    <row r="172" spans="2:18" x14ac:dyDescent="0.3">
      <c r="B172" t="s">
        <v>6</v>
      </c>
      <c r="D172" t="s">
        <v>1</v>
      </c>
      <c r="E172">
        <v>165</v>
      </c>
      <c r="F172" t="s">
        <v>12</v>
      </c>
      <c r="H172" t="s">
        <v>17</v>
      </c>
      <c r="I172">
        <f t="shared" ca="1" si="39"/>
        <v>0.34646196112129868</v>
      </c>
      <c r="K172" t="str">
        <f t="shared" si="28"/>
        <v>Southampton</v>
      </c>
      <c r="L172">
        <f t="shared" ca="1" si="29"/>
        <v>0</v>
      </c>
      <c r="M172" t="str">
        <f t="shared" si="30"/>
        <v>Stoke City</v>
      </c>
      <c r="N172">
        <f t="shared" ca="1" si="31"/>
        <v>2</v>
      </c>
      <c r="O172" t="str">
        <f t="shared" ca="1" si="32"/>
        <v>Stoke City</v>
      </c>
      <c r="P172" t="str">
        <f t="shared" ca="1" si="33"/>
        <v>Southampton</v>
      </c>
      <c r="Q172" t="str">
        <f t="shared" ca="1" si="34"/>
        <v>Not Draw</v>
      </c>
      <c r="R172" t="str">
        <f t="shared" ca="1" si="35"/>
        <v>Not Draw</v>
      </c>
    </row>
    <row r="173" spans="2:18" x14ac:dyDescent="0.3">
      <c r="B173" t="s">
        <v>17</v>
      </c>
      <c r="D173" t="s">
        <v>2</v>
      </c>
      <c r="E173">
        <v>166</v>
      </c>
      <c r="F173" t="s">
        <v>11</v>
      </c>
      <c r="H173" t="s">
        <v>23</v>
      </c>
      <c r="I173">
        <f t="shared" ca="1" si="39"/>
        <v>0.6506055166698288</v>
      </c>
      <c r="K173" t="str">
        <f t="shared" si="28"/>
        <v>Crystal Palace</v>
      </c>
      <c r="L173">
        <f t="shared" ca="1" si="29"/>
        <v>0</v>
      </c>
      <c r="M173" t="str">
        <f t="shared" si="30"/>
        <v>Newcastle</v>
      </c>
      <c r="N173">
        <f t="shared" ca="1" si="31"/>
        <v>4</v>
      </c>
      <c r="O173" t="str">
        <f t="shared" ca="1" si="32"/>
        <v>Newcastle</v>
      </c>
      <c r="P173" t="str">
        <f t="shared" ca="1" si="33"/>
        <v>Crystal Palace</v>
      </c>
      <c r="Q173" t="str">
        <f t="shared" ca="1" si="34"/>
        <v>Not Draw</v>
      </c>
      <c r="R173" t="str">
        <f t="shared" ca="1" si="35"/>
        <v>Not Draw</v>
      </c>
    </row>
    <row r="174" spans="2:18" x14ac:dyDescent="0.3">
      <c r="B174" t="s">
        <v>13</v>
      </c>
      <c r="D174" t="s">
        <v>23</v>
      </c>
      <c r="E174">
        <v>167</v>
      </c>
      <c r="F174" t="s">
        <v>2</v>
      </c>
      <c r="H174" t="s">
        <v>13</v>
      </c>
      <c r="I174">
        <f t="shared" ca="1" si="39"/>
        <v>0.12704402044967922</v>
      </c>
      <c r="K174" t="str">
        <f t="shared" si="28"/>
        <v>Chelsea</v>
      </c>
      <c r="L174">
        <f t="shared" ca="1" si="29"/>
        <v>0</v>
      </c>
      <c r="M174" t="str">
        <f t="shared" si="30"/>
        <v>Swansea City</v>
      </c>
      <c r="N174">
        <f t="shared" ca="1" si="31"/>
        <v>2</v>
      </c>
      <c r="O174" t="str">
        <f t="shared" ca="1" si="32"/>
        <v>Swansea City</v>
      </c>
      <c r="P174" t="str">
        <f t="shared" ca="1" si="33"/>
        <v>Chelsea</v>
      </c>
      <c r="Q174" t="str">
        <f t="shared" ca="1" si="34"/>
        <v>Not Draw</v>
      </c>
      <c r="R174" t="str">
        <f t="shared" ca="1" si="35"/>
        <v>Not Draw</v>
      </c>
    </row>
    <row r="175" spans="2:18" x14ac:dyDescent="0.3">
      <c r="B175" t="s">
        <v>16</v>
      </c>
      <c r="D175" t="s">
        <v>11</v>
      </c>
      <c r="E175">
        <v>168</v>
      </c>
      <c r="F175" t="s">
        <v>66</v>
      </c>
      <c r="H175" t="s">
        <v>66</v>
      </c>
      <c r="I175">
        <f t="shared" ca="1" si="39"/>
        <v>-1</v>
      </c>
      <c r="K175" t="str">
        <f t="shared" si="28"/>
        <v>No Team</v>
      </c>
      <c r="L175" t="s">
        <v>64</v>
      </c>
      <c r="M175" t="str">
        <f t="shared" si="30"/>
        <v>No Team</v>
      </c>
      <c r="N175" t="s">
        <v>64</v>
      </c>
      <c r="O175" t="str">
        <f t="shared" si="32"/>
        <v>Draw</v>
      </c>
      <c r="P175" t="str">
        <f t="shared" si="33"/>
        <v>Draw</v>
      </c>
      <c r="Q175" t="str">
        <f t="shared" si="34"/>
        <v>No Team</v>
      </c>
      <c r="R175" t="str">
        <f t="shared" si="35"/>
        <v>No Team</v>
      </c>
    </row>
    <row r="176" spans="2:18" x14ac:dyDescent="0.3">
      <c r="B176" t="s">
        <v>5</v>
      </c>
      <c r="D176" t="s">
        <v>10</v>
      </c>
      <c r="E176">
        <v>169</v>
      </c>
      <c r="F176" t="s">
        <v>66</v>
      </c>
      <c r="H176" t="s">
        <v>66</v>
      </c>
      <c r="I176">
        <f t="shared" ca="1" si="39"/>
        <v>-1</v>
      </c>
      <c r="K176" t="str">
        <f t="shared" si="28"/>
        <v>No Team</v>
      </c>
      <c r="L176" t="s">
        <v>64</v>
      </c>
      <c r="M176" t="str">
        <f t="shared" si="30"/>
        <v>No Team</v>
      </c>
      <c r="N176" t="s">
        <v>64</v>
      </c>
      <c r="O176" t="str">
        <f t="shared" si="32"/>
        <v>Draw</v>
      </c>
      <c r="P176" t="str">
        <f t="shared" si="33"/>
        <v>Draw</v>
      </c>
      <c r="Q176" t="str">
        <f t="shared" si="34"/>
        <v>No Team</v>
      </c>
      <c r="R176" t="str">
        <f t="shared" si="35"/>
        <v>No Team</v>
      </c>
    </row>
    <row r="177" spans="5:18" x14ac:dyDescent="0.3">
      <c r="F177">
        <v>17</v>
      </c>
      <c r="K177">
        <f t="shared" si="28"/>
        <v>17</v>
      </c>
      <c r="L177" t="e">
        <f t="shared" ca="1" si="29"/>
        <v>#N/A</v>
      </c>
      <c r="M177">
        <f t="shared" si="30"/>
        <v>0</v>
      </c>
      <c r="N177" t="e">
        <f t="shared" ca="1" si="31"/>
        <v>#N/A</v>
      </c>
      <c r="O177" t="e">
        <f t="shared" ca="1" si="32"/>
        <v>#N/A</v>
      </c>
      <c r="P177" t="e">
        <f t="shared" ca="1" si="33"/>
        <v>#N/A</v>
      </c>
      <c r="Q177" t="e">
        <f t="shared" ca="1" si="34"/>
        <v>#N/A</v>
      </c>
      <c r="R177" t="e">
        <f t="shared" ca="1" si="35"/>
        <v>#N/A</v>
      </c>
    </row>
    <row r="178" spans="5:18" x14ac:dyDescent="0.3">
      <c r="E178">
        <v>170</v>
      </c>
      <c r="F178" t="s">
        <v>13</v>
      </c>
      <c r="H178" t="s">
        <v>15</v>
      </c>
      <c r="I178">
        <f t="shared" ref="I178:I187" ca="1" si="40">IF(F178="No Team",-1,RAND())</f>
        <v>0.80098862309776309</v>
      </c>
      <c r="K178" t="str">
        <f t="shared" si="28"/>
        <v>Swansea City</v>
      </c>
      <c r="L178">
        <f t="shared" ca="1" si="29"/>
        <v>2</v>
      </c>
      <c r="M178" t="str">
        <f t="shared" si="30"/>
        <v>West Bromwich</v>
      </c>
      <c r="N178">
        <f t="shared" ca="1" si="31"/>
        <v>1</v>
      </c>
      <c r="O178" t="str">
        <f t="shared" ca="1" si="32"/>
        <v>Swansea City</v>
      </c>
      <c r="P178" t="str">
        <f t="shared" ca="1" si="33"/>
        <v>West Bromwich</v>
      </c>
      <c r="Q178" t="str">
        <f t="shared" ca="1" si="34"/>
        <v>Not Draw</v>
      </c>
      <c r="R178" t="str">
        <f t="shared" ca="1" si="35"/>
        <v>Not Draw</v>
      </c>
    </row>
    <row r="179" spans="5:18" x14ac:dyDescent="0.3">
      <c r="E179">
        <v>171</v>
      </c>
      <c r="F179" t="s">
        <v>2</v>
      </c>
      <c r="H179" t="s">
        <v>6</v>
      </c>
      <c r="I179">
        <f t="shared" ca="1" si="40"/>
        <v>0.28399871528953813</v>
      </c>
      <c r="K179" t="str">
        <f t="shared" si="28"/>
        <v>Chelsea</v>
      </c>
      <c r="L179">
        <f t="shared" ca="1" si="29"/>
        <v>4</v>
      </c>
      <c r="M179" t="str">
        <f t="shared" si="30"/>
        <v>Everton</v>
      </c>
      <c r="N179">
        <f t="shared" ca="1" si="31"/>
        <v>0</v>
      </c>
      <c r="O179" t="str">
        <f t="shared" ca="1" si="32"/>
        <v>Chelsea</v>
      </c>
      <c r="P179" t="str">
        <f t="shared" ca="1" si="33"/>
        <v>Everton</v>
      </c>
      <c r="Q179" t="str">
        <f t="shared" ca="1" si="34"/>
        <v>Not Draw</v>
      </c>
      <c r="R179" t="str">
        <f t="shared" ca="1" si="35"/>
        <v>Not Draw</v>
      </c>
    </row>
    <row r="180" spans="5:18" x14ac:dyDescent="0.3">
      <c r="E180">
        <v>172</v>
      </c>
      <c r="F180" t="s">
        <v>17</v>
      </c>
      <c r="H180" t="s">
        <v>9</v>
      </c>
      <c r="I180">
        <f t="shared" ca="1" si="40"/>
        <v>0.13416273254957067</v>
      </c>
      <c r="K180" t="str">
        <f t="shared" si="28"/>
        <v>Stoke City</v>
      </c>
      <c r="L180">
        <f t="shared" ca="1" si="29"/>
        <v>0</v>
      </c>
      <c r="M180" t="str">
        <f t="shared" si="30"/>
        <v>Bournemouth</v>
      </c>
      <c r="N180">
        <f t="shared" ca="1" si="31"/>
        <v>2</v>
      </c>
      <c r="O180" t="str">
        <f t="shared" ca="1" si="32"/>
        <v>Bournemouth</v>
      </c>
      <c r="P180" t="str">
        <f t="shared" ca="1" si="33"/>
        <v>Stoke City</v>
      </c>
      <c r="Q180" t="str">
        <f t="shared" ca="1" si="34"/>
        <v>Not Draw</v>
      </c>
      <c r="R180" t="str">
        <f t="shared" ca="1" si="35"/>
        <v>Not Draw</v>
      </c>
    </row>
    <row r="181" spans="5:18" x14ac:dyDescent="0.3">
      <c r="E181">
        <v>173</v>
      </c>
      <c r="F181" t="s">
        <v>12</v>
      </c>
      <c r="H181" t="s">
        <v>23</v>
      </c>
      <c r="I181">
        <f t="shared" ca="1" si="40"/>
        <v>0.37007192815204371</v>
      </c>
      <c r="K181" t="str">
        <f t="shared" si="28"/>
        <v>Southampton</v>
      </c>
      <c r="L181">
        <f t="shared" ca="1" si="29"/>
        <v>4</v>
      </c>
      <c r="M181" t="str">
        <f t="shared" si="30"/>
        <v>Newcastle</v>
      </c>
      <c r="N181">
        <f t="shared" ca="1" si="31"/>
        <v>2</v>
      </c>
      <c r="O181" t="str">
        <f t="shared" ca="1" si="32"/>
        <v>Southampton</v>
      </c>
      <c r="P181" t="str">
        <f t="shared" ca="1" si="33"/>
        <v>Newcastle</v>
      </c>
      <c r="Q181" t="str">
        <f t="shared" ca="1" si="34"/>
        <v>Not Draw</v>
      </c>
      <c r="R181" t="str">
        <f t="shared" ca="1" si="35"/>
        <v>Not Draw</v>
      </c>
    </row>
    <row r="182" spans="5:18" x14ac:dyDescent="0.3">
      <c r="E182">
        <v>174</v>
      </c>
      <c r="F182" t="s">
        <v>16</v>
      </c>
      <c r="H182" t="s">
        <v>7</v>
      </c>
      <c r="I182">
        <f t="shared" ca="1" si="40"/>
        <v>0.84337214796354854</v>
      </c>
      <c r="K182" t="str">
        <f t="shared" si="28"/>
        <v>West Ham United</v>
      </c>
      <c r="L182">
        <f t="shared" ca="1" si="29"/>
        <v>3</v>
      </c>
      <c r="M182" t="str">
        <f t="shared" si="30"/>
        <v>Burnley</v>
      </c>
      <c r="N182">
        <f t="shared" ca="1" si="31"/>
        <v>0</v>
      </c>
      <c r="O182" t="str">
        <f t="shared" ca="1" si="32"/>
        <v>West Ham United</v>
      </c>
      <c r="P182" t="str">
        <f t="shared" ca="1" si="33"/>
        <v>Burnley</v>
      </c>
      <c r="Q182" t="str">
        <f t="shared" ca="1" si="34"/>
        <v>Not Draw</v>
      </c>
      <c r="R182" t="str">
        <f t="shared" ca="1" si="35"/>
        <v>Not Draw</v>
      </c>
    </row>
    <row r="183" spans="5:18" x14ac:dyDescent="0.3">
      <c r="E183">
        <v>175</v>
      </c>
      <c r="F183" t="s">
        <v>5</v>
      </c>
      <c r="H183" t="s">
        <v>4</v>
      </c>
      <c r="I183">
        <f t="shared" ca="1" si="40"/>
        <v>0.84400709196940416</v>
      </c>
      <c r="K183" t="str">
        <f t="shared" si="28"/>
        <v>Liverpool</v>
      </c>
      <c r="L183">
        <f t="shared" ca="1" si="29"/>
        <v>1</v>
      </c>
      <c r="M183" t="str">
        <f t="shared" si="30"/>
        <v>Tottenham Hotspur</v>
      </c>
      <c r="N183">
        <f t="shared" ca="1" si="31"/>
        <v>1</v>
      </c>
      <c r="O183" t="str">
        <f t="shared" ca="1" si="32"/>
        <v>Draw</v>
      </c>
      <c r="P183" t="str">
        <f t="shared" ca="1" si="33"/>
        <v>Draw</v>
      </c>
      <c r="Q183" t="str">
        <f t="shared" ca="1" si="34"/>
        <v>Liverpool</v>
      </c>
      <c r="R183" t="str">
        <f t="shared" ca="1" si="35"/>
        <v>Tottenham Hotspur</v>
      </c>
    </row>
    <row r="184" spans="5:18" x14ac:dyDescent="0.3">
      <c r="E184">
        <v>176</v>
      </c>
      <c r="F184" t="s">
        <v>8</v>
      </c>
      <c r="H184" t="s">
        <v>14</v>
      </c>
      <c r="I184">
        <f t="shared" ca="1" si="40"/>
        <v>0.42443733105615256</v>
      </c>
      <c r="K184" t="str">
        <f t="shared" si="28"/>
        <v>Watford</v>
      </c>
      <c r="L184">
        <f t="shared" ca="1" si="29"/>
        <v>0</v>
      </c>
      <c r="M184" t="str">
        <f t="shared" si="30"/>
        <v>Huddersfield</v>
      </c>
      <c r="N184">
        <f t="shared" ca="1" si="31"/>
        <v>0</v>
      </c>
      <c r="O184" t="str">
        <f t="shared" ca="1" si="32"/>
        <v>Draw</v>
      </c>
      <c r="P184" t="str">
        <f t="shared" ca="1" si="33"/>
        <v>Draw</v>
      </c>
      <c r="Q184" t="str">
        <f t="shared" ca="1" si="34"/>
        <v>Watford</v>
      </c>
      <c r="R184" t="str">
        <f t="shared" ca="1" si="35"/>
        <v>Huddersfield</v>
      </c>
    </row>
    <row r="185" spans="5:18" x14ac:dyDescent="0.3">
      <c r="E185">
        <v>177</v>
      </c>
      <c r="F185" t="s">
        <v>3</v>
      </c>
      <c r="H185" t="s">
        <v>10</v>
      </c>
      <c r="I185">
        <f t="shared" ca="1" si="40"/>
        <v>0.9397795450859181</v>
      </c>
      <c r="K185" t="str">
        <f t="shared" si="28"/>
        <v>Arsenal</v>
      </c>
      <c r="L185">
        <f t="shared" ca="1" si="29"/>
        <v>2</v>
      </c>
      <c r="M185" t="str">
        <f t="shared" si="30"/>
        <v>Brighton</v>
      </c>
      <c r="N185">
        <f t="shared" ca="1" si="31"/>
        <v>0</v>
      </c>
      <c r="O185" t="str">
        <f t="shared" ca="1" si="32"/>
        <v>Arsenal</v>
      </c>
      <c r="P185" t="str">
        <f t="shared" ca="1" si="33"/>
        <v>Brighton</v>
      </c>
      <c r="Q185" t="str">
        <f t="shared" ca="1" si="34"/>
        <v>Not Draw</v>
      </c>
      <c r="R185" t="str">
        <f t="shared" ca="1" si="35"/>
        <v>Not Draw</v>
      </c>
    </row>
    <row r="186" spans="5:18" x14ac:dyDescent="0.3">
      <c r="E186">
        <v>178</v>
      </c>
      <c r="F186" t="s">
        <v>66</v>
      </c>
      <c r="H186" t="s">
        <v>66</v>
      </c>
      <c r="I186">
        <f t="shared" ca="1" si="40"/>
        <v>-1</v>
      </c>
      <c r="K186" t="str">
        <f t="shared" si="28"/>
        <v>No Team</v>
      </c>
      <c r="L186" t="s">
        <v>64</v>
      </c>
      <c r="M186" t="str">
        <f t="shared" si="30"/>
        <v>No Team</v>
      </c>
      <c r="N186" t="s">
        <v>64</v>
      </c>
      <c r="O186" t="str">
        <f t="shared" si="32"/>
        <v>Draw</v>
      </c>
      <c r="P186" t="str">
        <f t="shared" si="33"/>
        <v>Draw</v>
      </c>
      <c r="Q186" t="str">
        <f t="shared" si="34"/>
        <v>No Team</v>
      </c>
      <c r="R186" t="str">
        <f t="shared" si="35"/>
        <v>No Team</v>
      </c>
    </row>
    <row r="187" spans="5:18" x14ac:dyDescent="0.3">
      <c r="E187">
        <v>179</v>
      </c>
      <c r="F187" t="s">
        <v>66</v>
      </c>
      <c r="H187" t="s">
        <v>66</v>
      </c>
      <c r="I187">
        <f t="shared" ca="1" si="40"/>
        <v>-1</v>
      </c>
      <c r="K187" t="str">
        <f t="shared" si="28"/>
        <v>No Team</v>
      </c>
      <c r="L187" t="s">
        <v>64</v>
      </c>
      <c r="M187" t="str">
        <f t="shared" si="30"/>
        <v>No Team</v>
      </c>
      <c r="N187" t="s">
        <v>64</v>
      </c>
      <c r="O187" t="str">
        <f t="shared" si="32"/>
        <v>Draw</v>
      </c>
      <c r="P187" t="str">
        <f t="shared" si="33"/>
        <v>Draw</v>
      </c>
      <c r="Q187" t="str">
        <f t="shared" si="34"/>
        <v>No Team</v>
      </c>
      <c r="R187" t="str">
        <f t="shared" si="35"/>
        <v>No Team</v>
      </c>
    </row>
    <row r="188" spans="5:18" x14ac:dyDescent="0.3">
      <c r="F188">
        <v>18</v>
      </c>
      <c r="K188">
        <f t="shared" si="28"/>
        <v>18</v>
      </c>
      <c r="L188" t="e">
        <f t="shared" ca="1" si="29"/>
        <v>#N/A</v>
      </c>
      <c r="M188">
        <f t="shared" si="30"/>
        <v>0</v>
      </c>
      <c r="N188" t="e">
        <f t="shared" ca="1" si="31"/>
        <v>#N/A</v>
      </c>
      <c r="O188" t="e">
        <f t="shared" ca="1" si="32"/>
        <v>#N/A</v>
      </c>
      <c r="P188" t="e">
        <f t="shared" ca="1" si="33"/>
        <v>#N/A</v>
      </c>
      <c r="Q188" t="e">
        <f t="shared" ca="1" si="34"/>
        <v>#N/A</v>
      </c>
      <c r="R188" t="e">
        <f t="shared" ca="1" si="35"/>
        <v>#N/A</v>
      </c>
    </row>
    <row r="189" spans="5:18" x14ac:dyDescent="0.3">
      <c r="E189">
        <v>180</v>
      </c>
      <c r="F189" t="s">
        <v>11</v>
      </c>
      <c r="H189" t="s">
        <v>17</v>
      </c>
      <c r="I189">
        <f t="shared" ref="I189:I198" ca="1" si="41">IF(F189="No Team",-1,RAND())</f>
        <v>0.41073436425895404</v>
      </c>
      <c r="K189" t="str">
        <f t="shared" si="28"/>
        <v>Crystal Palace</v>
      </c>
      <c r="L189">
        <f t="shared" ca="1" si="29"/>
        <v>2</v>
      </c>
      <c r="M189" t="str">
        <f t="shared" si="30"/>
        <v>Stoke City</v>
      </c>
      <c r="N189">
        <f t="shared" ca="1" si="31"/>
        <v>2</v>
      </c>
      <c r="O189" t="str">
        <f t="shared" ca="1" si="32"/>
        <v>Draw</v>
      </c>
      <c r="P189" t="str">
        <f t="shared" ca="1" si="33"/>
        <v>Draw</v>
      </c>
      <c r="Q189" t="str">
        <f t="shared" ca="1" si="34"/>
        <v>Crystal Palace</v>
      </c>
      <c r="R189" t="str">
        <f t="shared" ca="1" si="35"/>
        <v>Stoke City</v>
      </c>
    </row>
    <row r="190" spans="5:18" x14ac:dyDescent="0.3">
      <c r="E190">
        <v>181</v>
      </c>
      <c r="F190" t="s">
        <v>10</v>
      </c>
      <c r="H190" t="s">
        <v>16</v>
      </c>
      <c r="I190">
        <f t="shared" ca="1" si="41"/>
        <v>1.2815346139067318E-2</v>
      </c>
      <c r="K190" t="str">
        <f t="shared" si="28"/>
        <v>Brighton</v>
      </c>
      <c r="L190">
        <f t="shared" ca="1" si="29"/>
        <v>0</v>
      </c>
      <c r="M190" t="str">
        <f t="shared" si="30"/>
        <v>West Ham United</v>
      </c>
      <c r="N190">
        <f t="shared" ca="1" si="31"/>
        <v>1</v>
      </c>
      <c r="O190" t="str">
        <f t="shared" ca="1" si="32"/>
        <v>West Ham United</v>
      </c>
      <c r="P190" t="str">
        <f t="shared" ca="1" si="33"/>
        <v>Brighton</v>
      </c>
      <c r="Q190" t="str">
        <f t="shared" ca="1" si="34"/>
        <v>Not Draw</v>
      </c>
      <c r="R190" t="str">
        <f t="shared" ca="1" si="35"/>
        <v>Not Draw</v>
      </c>
    </row>
    <row r="191" spans="5:18" x14ac:dyDescent="0.3">
      <c r="E191">
        <v>182</v>
      </c>
      <c r="F191" t="s">
        <v>4</v>
      </c>
      <c r="H191" t="s">
        <v>8</v>
      </c>
      <c r="I191">
        <f t="shared" ca="1" si="41"/>
        <v>0.35283055554954668</v>
      </c>
      <c r="K191" t="str">
        <f t="shared" si="28"/>
        <v>Tottenham Hotspur</v>
      </c>
      <c r="L191">
        <f t="shared" ca="1" si="29"/>
        <v>1</v>
      </c>
      <c r="M191" t="str">
        <f t="shared" si="30"/>
        <v>Watford</v>
      </c>
      <c r="N191">
        <f t="shared" ca="1" si="31"/>
        <v>0</v>
      </c>
      <c r="O191" t="str">
        <f t="shared" ca="1" si="32"/>
        <v>Tottenham Hotspur</v>
      </c>
      <c r="P191" t="str">
        <f t="shared" ca="1" si="33"/>
        <v>Watford</v>
      </c>
      <c r="Q191" t="str">
        <f t="shared" ca="1" si="34"/>
        <v>Not Draw</v>
      </c>
      <c r="R191" t="str">
        <f t="shared" ca="1" si="35"/>
        <v>Not Draw</v>
      </c>
    </row>
    <row r="192" spans="5:18" x14ac:dyDescent="0.3">
      <c r="E192">
        <v>183</v>
      </c>
      <c r="F192" t="s">
        <v>15</v>
      </c>
      <c r="H192" t="s">
        <v>2</v>
      </c>
      <c r="I192">
        <f t="shared" ca="1" si="41"/>
        <v>0.77040127015255466</v>
      </c>
      <c r="K192" t="str">
        <f t="shared" si="28"/>
        <v>West Bromwich</v>
      </c>
      <c r="L192">
        <f t="shared" ca="1" si="29"/>
        <v>2</v>
      </c>
      <c r="M192" t="str">
        <f t="shared" si="30"/>
        <v>Chelsea</v>
      </c>
      <c r="N192">
        <f t="shared" ca="1" si="31"/>
        <v>4</v>
      </c>
      <c r="O192" t="str">
        <f t="shared" ca="1" si="32"/>
        <v>Chelsea</v>
      </c>
      <c r="P192" t="str">
        <f t="shared" ca="1" si="33"/>
        <v>West Bromwich</v>
      </c>
      <c r="Q192" t="str">
        <f t="shared" ca="1" si="34"/>
        <v>Not Draw</v>
      </c>
      <c r="R192" t="str">
        <f t="shared" ca="1" si="35"/>
        <v>Not Draw</v>
      </c>
    </row>
    <row r="193" spans="5:18" x14ac:dyDescent="0.3">
      <c r="E193">
        <v>184</v>
      </c>
      <c r="F193" t="s">
        <v>9</v>
      </c>
      <c r="H193" t="s">
        <v>12</v>
      </c>
      <c r="I193">
        <f t="shared" ca="1" si="41"/>
        <v>0.64766627939104737</v>
      </c>
      <c r="K193" t="str">
        <f t="shared" si="28"/>
        <v>Bournemouth</v>
      </c>
      <c r="L193">
        <f t="shared" ca="1" si="29"/>
        <v>4</v>
      </c>
      <c r="M193" t="str">
        <f t="shared" si="30"/>
        <v>Southampton</v>
      </c>
      <c r="N193">
        <f t="shared" ca="1" si="31"/>
        <v>2</v>
      </c>
      <c r="O193" t="str">
        <f t="shared" ca="1" si="32"/>
        <v>Bournemouth</v>
      </c>
      <c r="P193" t="str">
        <f t="shared" ca="1" si="33"/>
        <v>Southampton</v>
      </c>
      <c r="Q193" t="str">
        <f t="shared" ca="1" si="34"/>
        <v>Not Draw</v>
      </c>
      <c r="R193" t="str">
        <f t="shared" ca="1" si="35"/>
        <v>Not Draw</v>
      </c>
    </row>
    <row r="194" spans="5:18" x14ac:dyDescent="0.3">
      <c r="E194">
        <v>185</v>
      </c>
      <c r="F194" t="s">
        <v>18</v>
      </c>
      <c r="H194" t="s">
        <v>13</v>
      </c>
      <c r="I194">
        <f t="shared" ca="1" si="41"/>
        <v>0.53462367431260771</v>
      </c>
      <c r="K194" t="str">
        <f t="shared" si="28"/>
        <v>Leicester City</v>
      </c>
      <c r="L194">
        <f t="shared" ca="1" si="29"/>
        <v>2</v>
      </c>
      <c r="M194" t="str">
        <f t="shared" si="30"/>
        <v>Swansea City</v>
      </c>
      <c r="N194">
        <f t="shared" ca="1" si="31"/>
        <v>3</v>
      </c>
      <c r="O194" t="str">
        <f t="shared" ca="1" si="32"/>
        <v>Swansea City</v>
      </c>
      <c r="P194" t="str">
        <f t="shared" ca="1" si="33"/>
        <v>Leicester City</v>
      </c>
      <c r="Q194" t="str">
        <f t="shared" ca="1" si="34"/>
        <v>Not Draw</v>
      </c>
      <c r="R194" t="str">
        <f t="shared" ca="1" si="35"/>
        <v>Not Draw</v>
      </c>
    </row>
    <row r="195" spans="5:18" x14ac:dyDescent="0.3">
      <c r="E195">
        <v>186</v>
      </c>
      <c r="F195" t="s">
        <v>0</v>
      </c>
      <c r="H195" t="s">
        <v>3</v>
      </c>
      <c r="I195">
        <f t="shared" ca="1" si="41"/>
        <v>0.1844028202546677</v>
      </c>
      <c r="K195" t="str">
        <f t="shared" ref="K195:K258" si="42">F195</f>
        <v>Manchester City</v>
      </c>
      <c r="L195">
        <f t="shared" ref="L195:L258" ca="1" si="43">MAX(0,(VLOOKUP(RAND(),$S$2:$T$9,2,1)+(IF(RAND()+((VLOOKUP(K195,$B$23:$C$42,2,1)-VLOOKUP(M195,$B$23:$C$42,2,1))/2)&gt;0.9,1,0)+(IF(RAND()+((VLOOKUP(K195,$B$23:$C$42,2,1)-VLOOKUP(M195,$B$23:$C$42,2,1))/2)&lt;0,-1,0)))))</f>
        <v>1</v>
      </c>
      <c r="M195" t="str">
        <f t="shared" ref="M195:M258" si="44">H195</f>
        <v>Arsenal</v>
      </c>
      <c r="N195">
        <f t="shared" ref="N195:N218" ca="1" si="45">MAX(0,(VLOOKUP(RAND(),$S$2:$T$9,2,1)+(IF(RAND()+((VLOOKUP(M195,$B$23:$C$42,2,1)-VLOOKUP(K195,$B$23:$C$42,2,1))/2)&gt;0.95,1,0)+(IF(RAND()+((VLOOKUP(M195,$B$23:$C$42,2,1)-VLOOKUP(K195,$B$23:$C$42,2,1))/2)&lt;0,-1,0)))))</f>
        <v>1</v>
      </c>
      <c r="O195" t="str">
        <f t="shared" ref="O195:O220" ca="1" si="46">IF(L195=N195,"Draw",IF(L195&gt;N195,K195,M195))</f>
        <v>Draw</v>
      </c>
      <c r="P195" t="str">
        <f t="shared" ref="P195:P220" ca="1" si="47">IF(O195="Draw","Draw",IF(O195=K195,M195,K195))</f>
        <v>Draw</v>
      </c>
      <c r="Q195" t="str">
        <f t="shared" ref="Q195:Q220" ca="1" si="48">IF(L195=N195,K195,"Not Draw")</f>
        <v>Manchester City</v>
      </c>
      <c r="R195" t="str">
        <f t="shared" ref="R195:R220" ca="1" si="49">IF(L195=N195,M195,"Not Draw")</f>
        <v>Arsenal</v>
      </c>
    </row>
    <row r="196" spans="5:18" x14ac:dyDescent="0.3">
      <c r="E196">
        <v>187</v>
      </c>
      <c r="F196" t="s">
        <v>1</v>
      </c>
      <c r="H196" t="s">
        <v>5</v>
      </c>
      <c r="I196">
        <f t="shared" ca="1" si="41"/>
        <v>0.23519251421416087</v>
      </c>
      <c r="K196" t="str">
        <f t="shared" si="42"/>
        <v>Manchester United</v>
      </c>
      <c r="L196">
        <f t="shared" ca="1" si="43"/>
        <v>2</v>
      </c>
      <c r="M196" t="str">
        <f t="shared" si="44"/>
        <v>Liverpool</v>
      </c>
      <c r="N196">
        <f t="shared" ca="1" si="45"/>
        <v>2</v>
      </c>
      <c r="O196" t="str">
        <f t="shared" ca="1" si="46"/>
        <v>Draw</v>
      </c>
      <c r="P196" t="str">
        <f t="shared" ca="1" si="47"/>
        <v>Draw</v>
      </c>
      <c r="Q196" t="str">
        <f t="shared" ca="1" si="48"/>
        <v>Manchester United</v>
      </c>
      <c r="R196" t="str">
        <f t="shared" ca="1" si="49"/>
        <v>Liverpool</v>
      </c>
    </row>
    <row r="197" spans="5:18" x14ac:dyDescent="0.3">
      <c r="E197">
        <v>188</v>
      </c>
      <c r="F197" t="s">
        <v>66</v>
      </c>
      <c r="H197" t="s">
        <v>66</v>
      </c>
      <c r="I197">
        <f t="shared" ca="1" si="41"/>
        <v>-1</v>
      </c>
      <c r="K197" t="str">
        <f t="shared" si="42"/>
        <v>No Team</v>
      </c>
      <c r="L197" t="s">
        <v>64</v>
      </c>
      <c r="M197" t="str">
        <f t="shared" si="44"/>
        <v>No Team</v>
      </c>
      <c r="N197" t="s">
        <v>64</v>
      </c>
      <c r="O197" t="str">
        <f t="shared" si="46"/>
        <v>Draw</v>
      </c>
      <c r="P197" t="str">
        <f t="shared" si="47"/>
        <v>Draw</v>
      </c>
      <c r="Q197" t="str">
        <f t="shared" si="48"/>
        <v>No Team</v>
      </c>
      <c r="R197" t="str">
        <f t="shared" si="49"/>
        <v>No Team</v>
      </c>
    </row>
    <row r="198" spans="5:18" x14ac:dyDescent="0.3">
      <c r="E198">
        <v>189</v>
      </c>
      <c r="F198" t="s">
        <v>66</v>
      </c>
      <c r="H198" t="s">
        <v>66</v>
      </c>
      <c r="I198">
        <f t="shared" ca="1" si="41"/>
        <v>-1</v>
      </c>
      <c r="K198" t="str">
        <f t="shared" si="42"/>
        <v>No Team</v>
      </c>
      <c r="L198" t="s">
        <v>64</v>
      </c>
      <c r="M198" t="str">
        <f t="shared" si="44"/>
        <v>No Team</v>
      </c>
      <c r="N198" t="s">
        <v>64</v>
      </c>
      <c r="O198" t="str">
        <f t="shared" si="46"/>
        <v>Draw</v>
      </c>
      <c r="P198" t="str">
        <f t="shared" si="47"/>
        <v>Draw</v>
      </c>
      <c r="Q198" t="str">
        <f t="shared" si="48"/>
        <v>No Team</v>
      </c>
      <c r="R198" t="str">
        <f t="shared" si="49"/>
        <v>No Team</v>
      </c>
    </row>
    <row r="199" spans="5:18" x14ac:dyDescent="0.3">
      <c r="F199">
        <v>19</v>
      </c>
      <c r="K199">
        <f t="shared" si="42"/>
        <v>19</v>
      </c>
      <c r="L199" t="e">
        <f t="shared" ca="1" si="43"/>
        <v>#N/A</v>
      </c>
      <c r="M199">
        <f t="shared" si="44"/>
        <v>0</v>
      </c>
      <c r="N199" t="e">
        <f t="shared" ca="1" si="45"/>
        <v>#N/A</v>
      </c>
      <c r="O199" t="e">
        <f t="shared" ca="1" si="46"/>
        <v>#N/A</v>
      </c>
      <c r="P199" t="e">
        <f t="shared" ca="1" si="47"/>
        <v>#N/A</v>
      </c>
      <c r="Q199" t="e">
        <f t="shared" ca="1" si="48"/>
        <v>#N/A</v>
      </c>
      <c r="R199" t="e">
        <f t="shared" ca="1" si="49"/>
        <v>#N/A</v>
      </c>
    </row>
    <row r="200" spans="5:18" x14ac:dyDescent="0.3">
      <c r="E200">
        <v>190</v>
      </c>
      <c r="F200" t="s">
        <v>13</v>
      </c>
      <c r="H200" t="s">
        <v>6</v>
      </c>
      <c r="I200">
        <f t="shared" ref="I200:I209" ca="1" si="50">IF(F200="No Team",-1,RAND())</f>
        <v>0.45252148487596944</v>
      </c>
      <c r="K200" t="str">
        <f t="shared" si="42"/>
        <v>Swansea City</v>
      </c>
      <c r="L200">
        <f t="shared" ca="1" si="43"/>
        <v>2</v>
      </c>
      <c r="M200" t="str">
        <f t="shared" si="44"/>
        <v>Everton</v>
      </c>
      <c r="N200">
        <f t="shared" ca="1" si="45"/>
        <v>1</v>
      </c>
      <c r="O200" t="str">
        <f t="shared" ca="1" si="46"/>
        <v>Swansea City</v>
      </c>
      <c r="P200" t="str">
        <f t="shared" ca="1" si="47"/>
        <v>Everton</v>
      </c>
      <c r="Q200" t="str">
        <f t="shared" ca="1" si="48"/>
        <v>Not Draw</v>
      </c>
      <c r="R200" t="str">
        <f t="shared" ca="1" si="49"/>
        <v>Not Draw</v>
      </c>
    </row>
    <row r="201" spans="5:18" x14ac:dyDescent="0.3">
      <c r="E201">
        <v>191</v>
      </c>
      <c r="F201" t="s">
        <v>5</v>
      </c>
      <c r="H201" t="s">
        <v>14</v>
      </c>
      <c r="I201">
        <f t="shared" ca="1" si="50"/>
        <v>0.93436898045926464</v>
      </c>
      <c r="K201" t="str">
        <f t="shared" si="42"/>
        <v>Liverpool</v>
      </c>
      <c r="L201">
        <f t="shared" ca="1" si="43"/>
        <v>2</v>
      </c>
      <c r="M201" t="str">
        <f t="shared" si="44"/>
        <v>Huddersfield</v>
      </c>
      <c r="N201">
        <f t="shared" ca="1" si="45"/>
        <v>4</v>
      </c>
      <c r="O201" t="str">
        <f t="shared" ca="1" si="46"/>
        <v>Huddersfield</v>
      </c>
      <c r="P201" t="str">
        <f t="shared" ca="1" si="47"/>
        <v>Liverpool</v>
      </c>
      <c r="Q201" t="str">
        <f t="shared" ca="1" si="48"/>
        <v>Not Draw</v>
      </c>
      <c r="R201" t="str">
        <f t="shared" ca="1" si="49"/>
        <v>Not Draw</v>
      </c>
    </row>
    <row r="202" spans="5:18" x14ac:dyDescent="0.3">
      <c r="E202">
        <v>192</v>
      </c>
      <c r="F202" t="s">
        <v>17</v>
      </c>
      <c r="H202" t="s">
        <v>23</v>
      </c>
      <c r="I202">
        <f t="shared" ca="1" si="50"/>
        <v>0.16798791544388092</v>
      </c>
      <c r="K202" t="str">
        <f t="shared" si="42"/>
        <v>Stoke City</v>
      </c>
      <c r="L202">
        <f t="shared" ca="1" si="43"/>
        <v>5</v>
      </c>
      <c r="M202" t="str">
        <f t="shared" si="44"/>
        <v>Newcastle</v>
      </c>
      <c r="N202">
        <f t="shared" ca="1" si="45"/>
        <v>4</v>
      </c>
      <c r="O202" t="str">
        <f t="shared" ca="1" si="46"/>
        <v>Stoke City</v>
      </c>
      <c r="P202" t="str">
        <f t="shared" ca="1" si="47"/>
        <v>Newcastle</v>
      </c>
      <c r="Q202" t="str">
        <f t="shared" ca="1" si="48"/>
        <v>Not Draw</v>
      </c>
      <c r="R202" t="str">
        <f t="shared" ca="1" si="49"/>
        <v>Not Draw</v>
      </c>
    </row>
    <row r="203" spans="5:18" x14ac:dyDescent="0.3">
      <c r="E203">
        <v>193</v>
      </c>
      <c r="F203" t="s">
        <v>11</v>
      </c>
      <c r="H203" t="s">
        <v>9</v>
      </c>
      <c r="I203">
        <f t="shared" ca="1" si="50"/>
        <v>0.40338813226402637</v>
      </c>
      <c r="K203" t="str">
        <f t="shared" si="42"/>
        <v>Crystal Palace</v>
      </c>
      <c r="L203">
        <f t="shared" ca="1" si="43"/>
        <v>0</v>
      </c>
      <c r="M203" t="str">
        <f t="shared" si="44"/>
        <v>Bournemouth</v>
      </c>
      <c r="N203">
        <f t="shared" ca="1" si="45"/>
        <v>4</v>
      </c>
      <c r="O203" t="str">
        <f t="shared" ca="1" si="46"/>
        <v>Bournemouth</v>
      </c>
      <c r="P203" t="str">
        <f t="shared" ca="1" si="47"/>
        <v>Crystal Palace</v>
      </c>
      <c r="Q203" t="str">
        <f t="shared" ca="1" si="48"/>
        <v>Not Draw</v>
      </c>
      <c r="R203" t="str">
        <f t="shared" ca="1" si="49"/>
        <v>Not Draw</v>
      </c>
    </row>
    <row r="204" spans="5:18" x14ac:dyDescent="0.3">
      <c r="E204">
        <v>194</v>
      </c>
      <c r="F204" t="s">
        <v>0</v>
      </c>
      <c r="H204" t="s">
        <v>10</v>
      </c>
      <c r="I204">
        <f t="shared" ca="1" si="50"/>
        <v>0.68063731550759721</v>
      </c>
      <c r="K204" t="str">
        <f t="shared" si="42"/>
        <v>Manchester City</v>
      </c>
      <c r="L204">
        <f t="shared" ca="1" si="43"/>
        <v>1</v>
      </c>
      <c r="M204" t="str">
        <f t="shared" si="44"/>
        <v>Brighton</v>
      </c>
      <c r="N204">
        <f t="shared" ca="1" si="45"/>
        <v>3</v>
      </c>
      <c r="O204" t="str">
        <f t="shared" ca="1" si="46"/>
        <v>Brighton</v>
      </c>
      <c r="P204" t="str">
        <f t="shared" ca="1" si="47"/>
        <v>Manchester City</v>
      </c>
      <c r="Q204" t="str">
        <f t="shared" ca="1" si="48"/>
        <v>Not Draw</v>
      </c>
      <c r="R204" t="str">
        <f t="shared" ca="1" si="49"/>
        <v>Not Draw</v>
      </c>
    </row>
    <row r="205" spans="5:18" x14ac:dyDescent="0.3">
      <c r="E205">
        <v>195</v>
      </c>
      <c r="F205" t="s">
        <v>1</v>
      </c>
      <c r="H205" t="s">
        <v>4</v>
      </c>
      <c r="I205">
        <f t="shared" ca="1" si="50"/>
        <v>0.19747153176941368</v>
      </c>
      <c r="K205" t="str">
        <f t="shared" si="42"/>
        <v>Manchester United</v>
      </c>
      <c r="L205">
        <f t="shared" ca="1" si="43"/>
        <v>2</v>
      </c>
      <c r="M205" t="str">
        <f t="shared" si="44"/>
        <v>Tottenham Hotspur</v>
      </c>
      <c r="N205">
        <f t="shared" ca="1" si="45"/>
        <v>2</v>
      </c>
      <c r="O205" t="str">
        <f t="shared" ca="1" si="46"/>
        <v>Draw</v>
      </c>
      <c r="P205" t="str">
        <f t="shared" ca="1" si="47"/>
        <v>Draw</v>
      </c>
      <c r="Q205" t="str">
        <f t="shared" ca="1" si="48"/>
        <v>Manchester United</v>
      </c>
      <c r="R205" t="str">
        <f t="shared" ca="1" si="49"/>
        <v>Tottenham Hotspur</v>
      </c>
    </row>
    <row r="206" spans="5:18" x14ac:dyDescent="0.3">
      <c r="E206">
        <v>196</v>
      </c>
      <c r="F206" t="s">
        <v>18</v>
      </c>
      <c r="H206" t="s">
        <v>15</v>
      </c>
      <c r="I206">
        <f t="shared" ca="1" si="50"/>
        <v>0.8754444397749449</v>
      </c>
      <c r="K206" t="str">
        <f t="shared" si="42"/>
        <v>Leicester City</v>
      </c>
      <c r="L206">
        <f t="shared" ca="1" si="43"/>
        <v>2</v>
      </c>
      <c r="M206" t="str">
        <f t="shared" si="44"/>
        <v>West Bromwich</v>
      </c>
      <c r="N206">
        <f t="shared" ca="1" si="45"/>
        <v>0</v>
      </c>
      <c r="O206" t="str">
        <f t="shared" ca="1" si="46"/>
        <v>Leicester City</v>
      </c>
      <c r="P206" t="str">
        <f t="shared" ca="1" si="47"/>
        <v>West Bromwich</v>
      </c>
      <c r="Q206" t="str">
        <f t="shared" ca="1" si="48"/>
        <v>Not Draw</v>
      </c>
      <c r="R206" t="str">
        <f t="shared" ca="1" si="49"/>
        <v>Not Draw</v>
      </c>
    </row>
    <row r="207" spans="5:18" x14ac:dyDescent="0.3">
      <c r="E207">
        <v>197</v>
      </c>
      <c r="F207" t="s">
        <v>3</v>
      </c>
      <c r="H207" t="s">
        <v>7</v>
      </c>
      <c r="I207">
        <f t="shared" ca="1" si="50"/>
        <v>0.80949955940188867</v>
      </c>
      <c r="K207" t="str">
        <f t="shared" si="42"/>
        <v>Arsenal</v>
      </c>
      <c r="L207">
        <f t="shared" ca="1" si="43"/>
        <v>0</v>
      </c>
      <c r="M207" t="str">
        <f t="shared" si="44"/>
        <v>Burnley</v>
      </c>
      <c r="N207">
        <f t="shared" ca="1" si="45"/>
        <v>2</v>
      </c>
      <c r="O207" t="str">
        <f t="shared" ca="1" si="46"/>
        <v>Burnley</v>
      </c>
      <c r="P207" t="str">
        <f t="shared" ca="1" si="47"/>
        <v>Arsenal</v>
      </c>
      <c r="Q207" t="str">
        <f t="shared" ca="1" si="48"/>
        <v>Not Draw</v>
      </c>
      <c r="R207" t="str">
        <f t="shared" ca="1" si="49"/>
        <v>Not Draw</v>
      </c>
    </row>
    <row r="208" spans="5:18" x14ac:dyDescent="0.3">
      <c r="E208">
        <v>198</v>
      </c>
      <c r="F208" t="s">
        <v>66</v>
      </c>
      <c r="H208" t="s">
        <v>66</v>
      </c>
      <c r="I208">
        <f t="shared" ca="1" si="50"/>
        <v>-1</v>
      </c>
      <c r="K208" t="str">
        <f t="shared" si="42"/>
        <v>No Team</v>
      </c>
      <c r="L208" t="s">
        <v>64</v>
      </c>
      <c r="M208" t="str">
        <f t="shared" si="44"/>
        <v>No Team</v>
      </c>
      <c r="N208" t="s">
        <v>64</v>
      </c>
      <c r="O208" t="str">
        <f t="shared" si="46"/>
        <v>Draw</v>
      </c>
      <c r="P208" t="str">
        <f t="shared" si="47"/>
        <v>Draw</v>
      </c>
      <c r="Q208" t="str">
        <f t="shared" si="48"/>
        <v>No Team</v>
      </c>
      <c r="R208" t="str">
        <f t="shared" si="49"/>
        <v>No Team</v>
      </c>
    </row>
    <row r="209" spans="5:18" x14ac:dyDescent="0.3">
      <c r="E209">
        <v>199</v>
      </c>
      <c r="F209" t="s">
        <v>66</v>
      </c>
      <c r="H209" t="s">
        <v>66</v>
      </c>
      <c r="I209">
        <f t="shared" ca="1" si="50"/>
        <v>-1</v>
      </c>
      <c r="K209" t="str">
        <f t="shared" si="42"/>
        <v>No Team</v>
      </c>
      <c r="L209" t="s">
        <v>64</v>
      </c>
      <c r="M209" t="str">
        <f t="shared" si="44"/>
        <v>No Team</v>
      </c>
      <c r="N209" t="s">
        <v>64</v>
      </c>
      <c r="O209" t="str">
        <f t="shared" si="46"/>
        <v>Draw</v>
      </c>
      <c r="P209" t="str">
        <f t="shared" si="47"/>
        <v>Draw</v>
      </c>
      <c r="Q209" t="str">
        <f t="shared" si="48"/>
        <v>No Team</v>
      </c>
      <c r="R209" t="str">
        <f t="shared" si="49"/>
        <v>No Team</v>
      </c>
    </row>
    <row r="210" spans="5:18" x14ac:dyDescent="0.3">
      <c r="F210">
        <v>20</v>
      </c>
      <c r="K210">
        <f t="shared" si="42"/>
        <v>20</v>
      </c>
      <c r="L210" t="e">
        <f t="shared" ca="1" si="43"/>
        <v>#N/A</v>
      </c>
      <c r="M210">
        <f t="shared" si="44"/>
        <v>0</v>
      </c>
      <c r="N210" t="e">
        <f t="shared" ca="1" si="45"/>
        <v>#N/A</v>
      </c>
      <c r="O210" t="e">
        <f t="shared" ca="1" si="46"/>
        <v>#N/A</v>
      </c>
      <c r="P210" t="e">
        <f t="shared" ca="1" si="47"/>
        <v>#N/A</v>
      </c>
      <c r="Q210" t="e">
        <f t="shared" ca="1" si="48"/>
        <v>#N/A</v>
      </c>
      <c r="R210" t="e">
        <f t="shared" ca="1" si="49"/>
        <v>#N/A</v>
      </c>
    </row>
    <row r="211" spans="5:18" x14ac:dyDescent="0.3">
      <c r="E211">
        <v>200</v>
      </c>
      <c r="F211" t="s">
        <v>1</v>
      </c>
      <c r="H211" t="s">
        <v>8</v>
      </c>
      <c r="I211">
        <f t="shared" ref="I211:I220" ca="1" si="51">IF(F211="No Team",-1,RAND())</f>
        <v>0.74303820264863407</v>
      </c>
      <c r="K211" t="str">
        <f t="shared" si="42"/>
        <v>Manchester United</v>
      </c>
      <c r="L211">
        <f t="shared" ca="1" si="43"/>
        <v>3</v>
      </c>
      <c r="M211" t="str">
        <f t="shared" si="44"/>
        <v>Watford</v>
      </c>
      <c r="N211">
        <f t="shared" ca="1" si="45"/>
        <v>1</v>
      </c>
      <c r="O211" t="str">
        <f t="shared" ca="1" si="46"/>
        <v>Manchester United</v>
      </c>
      <c r="P211" t="str">
        <f t="shared" ca="1" si="47"/>
        <v>Watford</v>
      </c>
      <c r="Q211" t="str">
        <f t="shared" ca="1" si="48"/>
        <v>Not Draw</v>
      </c>
      <c r="R211" t="str">
        <f t="shared" ca="1" si="49"/>
        <v>Not Draw</v>
      </c>
    </row>
    <row r="212" spans="5:18" x14ac:dyDescent="0.3">
      <c r="E212">
        <v>201</v>
      </c>
      <c r="F212" t="s">
        <v>9</v>
      </c>
      <c r="H212" t="s">
        <v>23</v>
      </c>
      <c r="I212">
        <f t="shared" ca="1" si="51"/>
        <v>0.22285203235593487</v>
      </c>
      <c r="K212" t="str">
        <f t="shared" si="42"/>
        <v>Bournemouth</v>
      </c>
      <c r="L212">
        <f t="shared" ca="1" si="43"/>
        <v>2</v>
      </c>
      <c r="M212" t="str">
        <f t="shared" si="44"/>
        <v>Newcastle</v>
      </c>
      <c r="N212">
        <f t="shared" ca="1" si="45"/>
        <v>4</v>
      </c>
      <c r="O212" t="str">
        <f t="shared" ca="1" si="46"/>
        <v>Newcastle</v>
      </c>
      <c r="P212" t="str">
        <f t="shared" ca="1" si="47"/>
        <v>Bournemouth</v>
      </c>
      <c r="Q212" t="str">
        <f t="shared" ca="1" si="48"/>
        <v>Not Draw</v>
      </c>
      <c r="R212" t="str">
        <f t="shared" ca="1" si="49"/>
        <v>Not Draw</v>
      </c>
    </row>
    <row r="213" spans="5:18" x14ac:dyDescent="0.3">
      <c r="E213">
        <v>202</v>
      </c>
      <c r="F213" t="s">
        <v>18</v>
      </c>
      <c r="H213" t="s">
        <v>2</v>
      </c>
      <c r="I213">
        <f t="shared" ca="1" si="51"/>
        <v>0.78854044320498295</v>
      </c>
      <c r="K213" t="str">
        <f t="shared" si="42"/>
        <v>Leicester City</v>
      </c>
      <c r="L213">
        <f t="shared" ca="1" si="43"/>
        <v>2</v>
      </c>
      <c r="M213" t="str">
        <f t="shared" si="44"/>
        <v>Chelsea</v>
      </c>
      <c r="N213">
        <f t="shared" ca="1" si="45"/>
        <v>0</v>
      </c>
      <c r="O213" t="str">
        <f t="shared" ca="1" si="46"/>
        <v>Leicester City</v>
      </c>
      <c r="P213" t="str">
        <f t="shared" ca="1" si="47"/>
        <v>Chelsea</v>
      </c>
      <c r="Q213" t="str">
        <f t="shared" ca="1" si="48"/>
        <v>Not Draw</v>
      </c>
      <c r="R213" t="str">
        <f t="shared" ca="1" si="49"/>
        <v>Not Draw</v>
      </c>
    </row>
    <row r="214" spans="5:18" x14ac:dyDescent="0.3">
      <c r="E214">
        <v>203</v>
      </c>
      <c r="F214" t="s">
        <v>11</v>
      </c>
      <c r="H214" t="s">
        <v>12</v>
      </c>
      <c r="I214">
        <f t="shared" ca="1" si="51"/>
        <v>7.3362849120289675E-2</v>
      </c>
      <c r="K214" t="str">
        <f t="shared" si="42"/>
        <v>Crystal Palace</v>
      </c>
      <c r="L214">
        <f t="shared" ca="1" si="43"/>
        <v>4</v>
      </c>
      <c r="M214" t="str">
        <f t="shared" si="44"/>
        <v>Southampton</v>
      </c>
      <c r="N214">
        <f t="shared" ca="1" si="45"/>
        <v>6</v>
      </c>
      <c r="O214" t="str">
        <f t="shared" ca="1" si="46"/>
        <v>Southampton</v>
      </c>
      <c r="P214" t="str">
        <f t="shared" ca="1" si="47"/>
        <v>Crystal Palace</v>
      </c>
      <c r="Q214" t="str">
        <f t="shared" ca="1" si="48"/>
        <v>Not Draw</v>
      </c>
      <c r="R214" t="str">
        <f t="shared" ca="1" si="49"/>
        <v>Not Draw</v>
      </c>
    </row>
    <row r="215" spans="5:18" x14ac:dyDescent="0.3">
      <c r="E215">
        <v>204</v>
      </c>
      <c r="F215" t="s">
        <v>15</v>
      </c>
      <c r="H215" t="s">
        <v>6</v>
      </c>
      <c r="I215">
        <f t="shared" ca="1" si="51"/>
        <v>0.96989724028725754</v>
      </c>
      <c r="K215" t="str">
        <f t="shared" si="42"/>
        <v>West Bromwich</v>
      </c>
      <c r="L215">
        <f t="shared" ca="1" si="43"/>
        <v>1</v>
      </c>
      <c r="M215" t="str">
        <f t="shared" si="44"/>
        <v>Everton</v>
      </c>
      <c r="N215">
        <f t="shared" ca="1" si="45"/>
        <v>0</v>
      </c>
      <c r="O215" t="str">
        <f t="shared" ca="1" si="46"/>
        <v>West Bromwich</v>
      </c>
      <c r="P215" t="str">
        <f t="shared" ca="1" si="47"/>
        <v>Everton</v>
      </c>
      <c r="Q215" t="str">
        <f t="shared" ca="1" si="48"/>
        <v>Not Draw</v>
      </c>
      <c r="R215" t="str">
        <f t="shared" ca="1" si="49"/>
        <v>Not Draw</v>
      </c>
    </row>
    <row r="216" spans="5:18" x14ac:dyDescent="0.3">
      <c r="E216">
        <v>205</v>
      </c>
      <c r="F216" t="s">
        <v>0</v>
      </c>
      <c r="H216" t="s">
        <v>16</v>
      </c>
      <c r="I216">
        <f t="shared" ca="1" si="51"/>
        <v>0.11394129046128221</v>
      </c>
      <c r="K216" t="str">
        <f t="shared" si="42"/>
        <v>Manchester City</v>
      </c>
      <c r="L216">
        <f t="shared" ca="1" si="43"/>
        <v>0</v>
      </c>
      <c r="M216" t="str">
        <f t="shared" si="44"/>
        <v>West Ham United</v>
      </c>
      <c r="N216">
        <f t="shared" ca="1" si="45"/>
        <v>0</v>
      </c>
      <c r="O216" t="str">
        <f t="shared" ca="1" si="46"/>
        <v>Draw</v>
      </c>
      <c r="P216" t="str">
        <f t="shared" ca="1" si="47"/>
        <v>Draw</v>
      </c>
      <c r="Q216" t="str">
        <f t="shared" ca="1" si="48"/>
        <v>Manchester City</v>
      </c>
      <c r="R216" t="str">
        <f t="shared" ca="1" si="49"/>
        <v>West Ham United</v>
      </c>
    </row>
    <row r="217" spans="5:18" x14ac:dyDescent="0.3">
      <c r="E217">
        <v>206</v>
      </c>
      <c r="F217" t="s">
        <v>10</v>
      </c>
      <c r="H217" t="s">
        <v>7</v>
      </c>
      <c r="I217">
        <f t="shared" ca="1" si="51"/>
        <v>0.6155312276638889</v>
      </c>
      <c r="K217" t="str">
        <f t="shared" si="42"/>
        <v>Brighton</v>
      </c>
      <c r="L217">
        <f t="shared" ca="1" si="43"/>
        <v>4</v>
      </c>
      <c r="M217" t="str">
        <f t="shared" si="44"/>
        <v>Burnley</v>
      </c>
      <c r="N217">
        <f t="shared" ca="1" si="45"/>
        <v>2</v>
      </c>
      <c r="O217" t="str">
        <f t="shared" ca="1" si="46"/>
        <v>Brighton</v>
      </c>
      <c r="P217" t="str">
        <f t="shared" ca="1" si="47"/>
        <v>Burnley</v>
      </c>
      <c r="Q217" t="str">
        <f t="shared" ca="1" si="48"/>
        <v>Not Draw</v>
      </c>
      <c r="R217" t="str">
        <f t="shared" ca="1" si="49"/>
        <v>Not Draw</v>
      </c>
    </row>
    <row r="218" spans="5:18" x14ac:dyDescent="0.3">
      <c r="E218">
        <v>207</v>
      </c>
      <c r="F218" t="s">
        <v>4</v>
      </c>
      <c r="H218" t="s">
        <v>14</v>
      </c>
      <c r="I218">
        <f t="shared" ca="1" si="51"/>
        <v>0.22533525514020691</v>
      </c>
      <c r="K218" t="str">
        <f t="shared" si="42"/>
        <v>Tottenham Hotspur</v>
      </c>
      <c r="L218">
        <f t="shared" ca="1" si="43"/>
        <v>1</v>
      </c>
      <c r="M218" t="str">
        <f t="shared" si="44"/>
        <v>Huddersfield</v>
      </c>
      <c r="N218">
        <f t="shared" ca="1" si="45"/>
        <v>2</v>
      </c>
      <c r="O218" t="str">
        <f t="shared" ca="1" si="46"/>
        <v>Huddersfield</v>
      </c>
      <c r="P218" t="str">
        <f t="shared" ca="1" si="47"/>
        <v>Tottenham Hotspur</v>
      </c>
      <c r="Q218" t="str">
        <f t="shared" ca="1" si="48"/>
        <v>Not Draw</v>
      </c>
      <c r="R218" t="str">
        <f t="shared" ca="1" si="49"/>
        <v>Not Draw</v>
      </c>
    </row>
    <row r="219" spans="5:18" x14ac:dyDescent="0.3">
      <c r="E219">
        <v>208</v>
      </c>
      <c r="F219" t="s">
        <v>66</v>
      </c>
      <c r="H219" t="s">
        <v>66</v>
      </c>
      <c r="I219">
        <f t="shared" ca="1" si="51"/>
        <v>-1</v>
      </c>
      <c r="K219" t="str">
        <f t="shared" si="42"/>
        <v>No Team</v>
      </c>
      <c r="L219" t="s">
        <v>64</v>
      </c>
      <c r="M219" t="str">
        <f t="shared" si="44"/>
        <v>No Team</v>
      </c>
      <c r="N219" t="s">
        <v>64</v>
      </c>
      <c r="O219" t="str">
        <f t="shared" si="46"/>
        <v>Draw</v>
      </c>
      <c r="P219" t="str">
        <f t="shared" si="47"/>
        <v>Draw</v>
      </c>
      <c r="Q219" t="str">
        <f t="shared" si="48"/>
        <v>No Team</v>
      </c>
      <c r="R219" t="str">
        <f t="shared" si="49"/>
        <v>No Team</v>
      </c>
    </row>
    <row r="220" spans="5:18" x14ac:dyDescent="0.3">
      <c r="E220">
        <v>209</v>
      </c>
      <c r="F220" t="s">
        <v>66</v>
      </c>
      <c r="H220" t="s">
        <v>66</v>
      </c>
      <c r="I220">
        <f t="shared" ca="1" si="51"/>
        <v>-1</v>
      </c>
      <c r="K220" t="str">
        <f t="shared" si="42"/>
        <v>No Team</v>
      </c>
      <c r="L220" t="s">
        <v>64</v>
      </c>
      <c r="M220" t="str">
        <f t="shared" si="44"/>
        <v>No Team</v>
      </c>
      <c r="N220" t="s">
        <v>64</v>
      </c>
      <c r="O220" t="str">
        <f t="shared" si="46"/>
        <v>Draw</v>
      </c>
      <c r="P220" t="str">
        <f t="shared" si="47"/>
        <v>Draw</v>
      </c>
      <c r="Q220" t="str">
        <f t="shared" si="48"/>
        <v>No Team</v>
      </c>
      <c r="R220" t="str">
        <f t="shared" si="49"/>
        <v>No Team</v>
      </c>
    </row>
    <row r="221" spans="5:18" x14ac:dyDescent="0.3">
      <c r="F221">
        <v>21</v>
      </c>
      <c r="K221">
        <f t="shared" si="42"/>
        <v>21</v>
      </c>
      <c r="L221" t="e">
        <f t="shared" ca="1" si="43"/>
        <v>#N/A</v>
      </c>
      <c r="M221" t="e">
        <f>#REF!</f>
        <v>#REF!</v>
      </c>
      <c r="N221" t="e">
        <f t="shared" ref="N221:N284" ca="1" si="52">MAX(0,(VLOOKUP(RAND(),$S$2:$T$9,2,1)+(IF(RAND()+((VLOOKUP(M221,$B$23:$C$42,2,1)-VLOOKUP(K221,$B$23:$C$42,2,1))/2)&gt;0.95,1,0)+(IF(RAND()+((VLOOKUP(M221,$B$23:$C$42,2,1)-VLOOKUP(K221,$B$23:$C$42,2,1))/2)&lt;0,-1,0)))))</f>
        <v>#REF!</v>
      </c>
      <c r="O221" t="e">
        <f t="shared" ref="O221:O284" ca="1" si="53">IF(L221=N221,"Draw",IF(L221&gt;N221,K221,M221))</f>
        <v>#N/A</v>
      </c>
      <c r="P221" t="e">
        <f t="shared" ref="P221:P284" ca="1" si="54">IF(O221="Draw","Draw",IF(O221=K221,M221,K221))</f>
        <v>#N/A</v>
      </c>
      <c r="Q221" t="e">
        <f t="shared" ref="Q221:Q284" ca="1" si="55">IF(L221=N221,K221,"Not Draw")</f>
        <v>#N/A</v>
      </c>
      <c r="R221" t="e">
        <f t="shared" ref="R221:R284" ca="1" si="56">IF(L221=N221,M221,"Not Draw")</f>
        <v>#N/A</v>
      </c>
    </row>
    <row r="222" spans="5:18" x14ac:dyDescent="0.3">
      <c r="E222">
        <v>210</v>
      </c>
      <c r="F222" t="s">
        <v>15</v>
      </c>
      <c r="H222" t="s">
        <v>17</v>
      </c>
      <c r="I222">
        <f t="shared" ref="I222:I231" ca="1" si="57">IF(F222="No Team",-1,RAND())</f>
        <v>0.16762210281902534</v>
      </c>
      <c r="K222" t="str">
        <f t="shared" si="42"/>
        <v>West Bromwich</v>
      </c>
      <c r="L222">
        <f t="shared" ca="1" si="43"/>
        <v>2</v>
      </c>
      <c r="M222" t="str">
        <f t="shared" si="44"/>
        <v>Stoke City</v>
      </c>
      <c r="N222">
        <f t="shared" ca="1" si="52"/>
        <v>4</v>
      </c>
      <c r="O222" t="str">
        <f t="shared" ca="1" si="53"/>
        <v>Stoke City</v>
      </c>
      <c r="P222" t="str">
        <f t="shared" ca="1" si="54"/>
        <v>West Bromwich</v>
      </c>
      <c r="Q222" t="str">
        <f t="shared" ca="1" si="55"/>
        <v>Not Draw</v>
      </c>
      <c r="R222" t="str">
        <f t="shared" ca="1" si="56"/>
        <v>Not Draw</v>
      </c>
    </row>
    <row r="223" spans="5:18" x14ac:dyDescent="0.3">
      <c r="E223">
        <v>211</v>
      </c>
      <c r="F223" t="s">
        <v>3</v>
      </c>
      <c r="H223" t="s">
        <v>12</v>
      </c>
      <c r="I223">
        <f t="shared" ca="1" si="57"/>
        <v>0.15166284159942511</v>
      </c>
      <c r="K223" t="str">
        <f t="shared" si="42"/>
        <v>Arsenal</v>
      </c>
      <c r="L223">
        <f t="shared" ca="1" si="43"/>
        <v>1</v>
      </c>
      <c r="M223" t="str">
        <f t="shared" si="44"/>
        <v>Southampton</v>
      </c>
      <c r="N223">
        <f t="shared" ca="1" si="52"/>
        <v>4</v>
      </c>
      <c r="O223" t="str">
        <f t="shared" ca="1" si="53"/>
        <v>Southampton</v>
      </c>
      <c r="P223" t="str">
        <f t="shared" ca="1" si="54"/>
        <v>Arsenal</v>
      </c>
      <c r="Q223" t="str">
        <f t="shared" ca="1" si="55"/>
        <v>Not Draw</v>
      </c>
      <c r="R223" t="str">
        <f t="shared" ca="1" si="56"/>
        <v>Not Draw</v>
      </c>
    </row>
    <row r="224" spans="5:18" x14ac:dyDescent="0.3">
      <c r="E224">
        <v>212</v>
      </c>
      <c r="F224" t="s">
        <v>6</v>
      </c>
      <c r="H224" t="s">
        <v>1</v>
      </c>
      <c r="I224">
        <f t="shared" ca="1" si="57"/>
        <v>0.88614629246084042</v>
      </c>
      <c r="K224" t="str">
        <f t="shared" si="42"/>
        <v>Everton</v>
      </c>
      <c r="L224">
        <f t="shared" ca="1" si="43"/>
        <v>0</v>
      </c>
      <c r="M224" t="str">
        <f t="shared" si="44"/>
        <v>Manchester United</v>
      </c>
      <c r="N224">
        <f t="shared" ca="1" si="52"/>
        <v>1</v>
      </c>
      <c r="O224" t="str">
        <f t="shared" ca="1" si="53"/>
        <v>Manchester United</v>
      </c>
      <c r="P224" t="str">
        <f t="shared" ca="1" si="54"/>
        <v>Everton</v>
      </c>
      <c r="Q224" t="str">
        <f t="shared" ca="1" si="55"/>
        <v>Not Draw</v>
      </c>
      <c r="R224" t="str">
        <f t="shared" ca="1" si="56"/>
        <v>Not Draw</v>
      </c>
    </row>
    <row r="225" spans="5:18" x14ac:dyDescent="0.3">
      <c r="E225">
        <v>213</v>
      </c>
      <c r="F225" t="s">
        <v>10</v>
      </c>
      <c r="H225" t="s">
        <v>5</v>
      </c>
      <c r="I225">
        <f t="shared" ca="1" si="57"/>
        <v>0.8543036017576795</v>
      </c>
      <c r="K225" t="str">
        <f t="shared" si="42"/>
        <v>Brighton</v>
      </c>
      <c r="L225">
        <f t="shared" ca="1" si="43"/>
        <v>1</v>
      </c>
      <c r="M225" t="str">
        <f t="shared" si="44"/>
        <v>Liverpool</v>
      </c>
      <c r="N225">
        <f t="shared" ca="1" si="52"/>
        <v>2</v>
      </c>
      <c r="O225" t="str">
        <f t="shared" ca="1" si="53"/>
        <v>Liverpool</v>
      </c>
      <c r="P225" t="str">
        <f t="shared" ca="1" si="54"/>
        <v>Brighton</v>
      </c>
      <c r="Q225" t="str">
        <f t="shared" ca="1" si="55"/>
        <v>Not Draw</v>
      </c>
      <c r="R225" t="str">
        <f t="shared" ca="1" si="56"/>
        <v>Not Draw</v>
      </c>
    </row>
    <row r="226" spans="5:18" x14ac:dyDescent="0.3">
      <c r="E226">
        <v>214</v>
      </c>
      <c r="F226" t="s">
        <v>2</v>
      </c>
      <c r="H226" t="s">
        <v>14</v>
      </c>
      <c r="I226">
        <f t="shared" ca="1" si="57"/>
        <v>0.80596986811765248</v>
      </c>
      <c r="K226" t="str">
        <f t="shared" si="42"/>
        <v>Chelsea</v>
      </c>
      <c r="L226">
        <f t="shared" ca="1" si="43"/>
        <v>2</v>
      </c>
      <c r="M226" t="str">
        <f t="shared" si="44"/>
        <v>Huddersfield</v>
      </c>
      <c r="N226">
        <f t="shared" ca="1" si="52"/>
        <v>1</v>
      </c>
      <c r="O226" t="str">
        <f t="shared" ca="1" si="53"/>
        <v>Chelsea</v>
      </c>
      <c r="P226" t="str">
        <f t="shared" ca="1" si="54"/>
        <v>Huddersfield</v>
      </c>
      <c r="Q226" t="str">
        <f t="shared" ca="1" si="55"/>
        <v>Not Draw</v>
      </c>
      <c r="R226" t="str">
        <f t="shared" ca="1" si="56"/>
        <v>Not Draw</v>
      </c>
    </row>
    <row r="227" spans="5:18" x14ac:dyDescent="0.3">
      <c r="E227">
        <v>215</v>
      </c>
      <c r="F227" t="s">
        <v>7</v>
      </c>
      <c r="H227" t="s">
        <v>11</v>
      </c>
      <c r="I227">
        <f t="shared" ca="1" si="57"/>
        <v>0.20979895807332272</v>
      </c>
      <c r="K227" t="str">
        <f t="shared" si="42"/>
        <v>Burnley</v>
      </c>
      <c r="L227">
        <f t="shared" ca="1" si="43"/>
        <v>2</v>
      </c>
      <c r="M227" t="str">
        <f t="shared" si="44"/>
        <v>Crystal Palace</v>
      </c>
      <c r="N227">
        <f t="shared" ca="1" si="52"/>
        <v>0</v>
      </c>
      <c r="O227" t="str">
        <f t="shared" ca="1" si="53"/>
        <v>Burnley</v>
      </c>
      <c r="P227" t="str">
        <f t="shared" ca="1" si="54"/>
        <v>Crystal Palace</v>
      </c>
      <c r="Q227" t="str">
        <f t="shared" ca="1" si="55"/>
        <v>Not Draw</v>
      </c>
      <c r="R227" t="str">
        <f t="shared" ca="1" si="56"/>
        <v>Not Draw</v>
      </c>
    </row>
    <row r="228" spans="5:18" x14ac:dyDescent="0.3">
      <c r="E228">
        <v>216</v>
      </c>
      <c r="F228" t="s">
        <v>13</v>
      </c>
      <c r="H228" t="s">
        <v>8</v>
      </c>
      <c r="I228">
        <f t="shared" ca="1" si="57"/>
        <v>0.1953089576346374</v>
      </c>
      <c r="K228" t="str">
        <f t="shared" si="42"/>
        <v>Swansea City</v>
      </c>
      <c r="L228">
        <f t="shared" ca="1" si="43"/>
        <v>0</v>
      </c>
      <c r="M228" t="str">
        <f t="shared" si="44"/>
        <v>Watford</v>
      </c>
      <c r="N228">
        <f t="shared" ca="1" si="52"/>
        <v>2</v>
      </c>
      <c r="O228" t="str">
        <f t="shared" ca="1" si="53"/>
        <v>Watford</v>
      </c>
      <c r="P228" t="str">
        <f t="shared" ca="1" si="54"/>
        <v>Swansea City</v>
      </c>
      <c r="Q228" t="str">
        <f t="shared" ca="1" si="55"/>
        <v>Not Draw</v>
      </c>
      <c r="R228" t="str">
        <f t="shared" ca="1" si="56"/>
        <v>Not Draw</v>
      </c>
    </row>
    <row r="229" spans="5:18" x14ac:dyDescent="0.3">
      <c r="E229">
        <v>217</v>
      </c>
      <c r="F229" t="s">
        <v>0</v>
      </c>
      <c r="H229" t="s">
        <v>9</v>
      </c>
      <c r="I229">
        <f t="shared" ca="1" si="57"/>
        <v>0.63361527562131126</v>
      </c>
      <c r="K229" t="str">
        <f t="shared" si="42"/>
        <v>Manchester City</v>
      </c>
      <c r="L229">
        <f t="shared" ca="1" si="43"/>
        <v>2</v>
      </c>
      <c r="M229" t="str">
        <f t="shared" si="44"/>
        <v>Bournemouth</v>
      </c>
      <c r="N229">
        <f t="shared" ca="1" si="52"/>
        <v>0</v>
      </c>
      <c r="O229" t="str">
        <f t="shared" ca="1" si="53"/>
        <v>Manchester City</v>
      </c>
      <c r="P229" t="str">
        <f t="shared" ca="1" si="54"/>
        <v>Bournemouth</v>
      </c>
      <c r="Q229" t="str">
        <f t="shared" ca="1" si="55"/>
        <v>Not Draw</v>
      </c>
      <c r="R229" t="str">
        <f t="shared" ca="1" si="56"/>
        <v>Not Draw</v>
      </c>
    </row>
    <row r="230" spans="5:18" x14ac:dyDescent="0.3">
      <c r="E230">
        <v>218</v>
      </c>
      <c r="F230" t="s">
        <v>18</v>
      </c>
      <c r="H230" t="s">
        <v>4</v>
      </c>
      <c r="I230">
        <f t="shared" ca="1" si="57"/>
        <v>0.89218572952261654</v>
      </c>
      <c r="K230" t="str">
        <f t="shared" si="42"/>
        <v>Leicester City</v>
      </c>
      <c r="L230">
        <f t="shared" ca="1" si="43"/>
        <v>2</v>
      </c>
      <c r="M230" t="str">
        <f t="shared" si="44"/>
        <v>Tottenham Hotspur</v>
      </c>
      <c r="N230">
        <f t="shared" ca="1" si="52"/>
        <v>2</v>
      </c>
      <c r="O230" t="str">
        <f t="shared" ca="1" si="53"/>
        <v>Draw</v>
      </c>
      <c r="P230" t="str">
        <f t="shared" ca="1" si="54"/>
        <v>Draw</v>
      </c>
      <c r="Q230" t="str">
        <f t="shared" ca="1" si="55"/>
        <v>Leicester City</v>
      </c>
      <c r="R230" t="str">
        <f t="shared" ca="1" si="56"/>
        <v>Tottenham Hotspur</v>
      </c>
    </row>
    <row r="231" spans="5:18" x14ac:dyDescent="0.3">
      <c r="E231">
        <v>219</v>
      </c>
      <c r="F231" t="s">
        <v>16</v>
      </c>
      <c r="H231" t="s">
        <v>23</v>
      </c>
      <c r="I231">
        <f t="shared" ca="1" si="57"/>
        <v>0.32566369014373076</v>
      </c>
      <c r="K231" t="str">
        <f t="shared" si="42"/>
        <v>West Ham United</v>
      </c>
      <c r="L231">
        <f t="shared" ca="1" si="43"/>
        <v>0</v>
      </c>
      <c r="M231" t="str">
        <f t="shared" si="44"/>
        <v>Newcastle</v>
      </c>
      <c r="N231">
        <f t="shared" ca="1" si="52"/>
        <v>5</v>
      </c>
      <c r="O231" t="str">
        <f t="shared" ca="1" si="53"/>
        <v>Newcastle</v>
      </c>
      <c r="P231" t="str">
        <f t="shared" ca="1" si="54"/>
        <v>West Ham United</v>
      </c>
      <c r="Q231" t="str">
        <f t="shared" ca="1" si="55"/>
        <v>Not Draw</v>
      </c>
      <c r="R231" t="str">
        <f t="shared" ca="1" si="56"/>
        <v>Not Draw</v>
      </c>
    </row>
    <row r="232" spans="5:18" x14ac:dyDescent="0.3">
      <c r="F232">
        <v>22</v>
      </c>
      <c r="K232">
        <f t="shared" si="42"/>
        <v>22</v>
      </c>
      <c r="L232" t="e">
        <f t="shared" ca="1" si="43"/>
        <v>#N/A</v>
      </c>
      <c r="M232">
        <f t="shared" si="44"/>
        <v>0</v>
      </c>
      <c r="N232" t="e">
        <f t="shared" ca="1" si="52"/>
        <v>#N/A</v>
      </c>
      <c r="O232" t="e">
        <f t="shared" ca="1" si="53"/>
        <v>#N/A</v>
      </c>
      <c r="P232" t="e">
        <f t="shared" ca="1" si="54"/>
        <v>#N/A</v>
      </c>
      <c r="Q232" t="e">
        <f t="shared" ca="1" si="55"/>
        <v>#N/A</v>
      </c>
      <c r="R232" t="e">
        <f t="shared" ca="1" si="56"/>
        <v>#N/A</v>
      </c>
    </row>
    <row r="233" spans="5:18" x14ac:dyDescent="0.3">
      <c r="E233">
        <v>220</v>
      </c>
      <c r="F233" t="s">
        <v>1</v>
      </c>
      <c r="H233" t="s">
        <v>2</v>
      </c>
      <c r="I233">
        <f t="shared" ref="I233:I242" ca="1" si="58">IF(F233="No Team",-1,RAND())</f>
        <v>0.29369452818371733</v>
      </c>
      <c r="K233" t="str">
        <f t="shared" si="42"/>
        <v>Manchester United</v>
      </c>
      <c r="L233">
        <f t="shared" ca="1" si="43"/>
        <v>1</v>
      </c>
      <c r="M233" t="str">
        <f t="shared" si="44"/>
        <v>Chelsea</v>
      </c>
      <c r="N233">
        <f t="shared" ca="1" si="52"/>
        <v>3</v>
      </c>
      <c r="O233" t="str">
        <f t="shared" ca="1" si="53"/>
        <v>Chelsea</v>
      </c>
      <c r="P233" t="str">
        <f t="shared" ca="1" si="54"/>
        <v>Manchester United</v>
      </c>
      <c r="Q233" t="str">
        <f t="shared" ca="1" si="55"/>
        <v>Not Draw</v>
      </c>
      <c r="R233" t="str">
        <f t="shared" ca="1" si="56"/>
        <v>Not Draw</v>
      </c>
    </row>
    <row r="234" spans="5:18" x14ac:dyDescent="0.3">
      <c r="E234">
        <v>221</v>
      </c>
      <c r="F234" t="s">
        <v>9</v>
      </c>
      <c r="H234" t="s">
        <v>7</v>
      </c>
      <c r="I234">
        <f t="shared" ca="1" si="58"/>
        <v>8.3495138761089049E-2</v>
      </c>
      <c r="K234" t="str">
        <f t="shared" si="42"/>
        <v>Bournemouth</v>
      </c>
      <c r="L234">
        <f t="shared" ca="1" si="43"/>
        <v>0</v>
      </c>
      <c r="M234" t="str">
        <f t="shared" si="44"/>
        <v>Burnley</v>
      </c>
      <c r="N234">
        <f t="shared" ca="1" si="52"/>
        <v>1</v>
      </c>
      <c r="O234" t="str">
        <f t="shared" ca="1" si="53"/>
        <v>Burnley</v>
      </c>
      <c r="P234" t="str">
        <f t="shared" ca="1" si="54"/>
        <v>Bournemouth</v>
      </c>
      <c r="Q234" t="str">
        <f t="shared" ca="1" si="55"/>
        <v>Not Draw</v>
      </c>
      <c r="R234" t="str">
        <f t="shared" ca="1" si="56"/>
        <v>Not Draw</v>
      </c>
    </row>
    <row r="235" spans="5:18" x14ac:dyDescent="0.3">
      <c r="E235">
        <v>222</v>
      </c>
      <c r="F235" t="s">
        <v>5</v>
      </c>
      <c r="H235" t="s">
        <v>0</v>
      </c>
      <c r="I235">
        <f t="shared" ca="1" si="58"/>
        <v>0.99029309427348555</v>
      </c>
      <c r="K235" t="str">
        <f t="shared" si="42"/>
        <v>Liverpool</v>
      </c>
      <c r="L235">
        <f t="shared" ca="1" si="43"/>
        <v>3</v>
      </c>
      <c r="M235" t="str">
        <f t="shared" si="44"/>
        <v>Manchester City</v>
      </c>
      <c r="N235">
        <f t="shared" ca="1" si="52"/>
        <v>1</v>
      </c>
      <c r="O235" t="str">
        <f t="shared" ca="1" si="53"/>
        <v>Liverpool</v>
      </c>
      <c r="P235" t="str">
        <f t="shared" ca="1" si="54"/>
        <v>Manchester City</v>
      </c>
      <c r="Q235" t="str">
        <f t="shared" ca="1" si="55"/>
        <v>Not Draw</v>
      </c>
      <c r="R235" t="str">
        <f t="shared" ca="1" si="56"/>
        <v>Not Draw</v>
      </c>
    </row>
    <row r="236" spans="5:18" x14ac:dyDescent="0.3">
      <c r="E236">
        <v>223</v>
      </c>
      <c r="F236" t="s">
        <v>17</v>
      </c>
      <c r="H236" t="s">
        <v>18</v>
      </c>
      <c r="I236">
        <f t="shared" ca="1" si="58"/>
        <v>0.48742045735021555</v>
      </c>
      <c r="K236" t="str">
        <f t="shared" si="42"/>
        <v>Stoke City</v>
      </c>
      <c r="L236">
        <f t="shared" ca="1" si="43"/>
        <v>4</v>
      </c>
      <c r="M236" t="str">
        <f t="shared" si="44"/>
        <v>Leicester City</v>
      </c>
      <c r="N236">
        <f t="shared" ca="1" si="52"/>
        <v>2</v>
      </c>
      <c r="O236" t="str">
        <f t="shared" ca="1" si="53"/>
        <v>Stoke City</v>
      </c>
      <c r="P236" t="str">
        <f t="shared" ca="1" si="54"/>
        <v>Leicester City</v>
      </c>
      <c r="Q236" t="str">
        <f t="shared" ca="1" si="55"/>
        <v>Not Draw</v>
      </c>
      <c r="R236" t="str">
        <f t="shared" ca="1" si="56"/>
        <v>Not Draw</v>
      </c>
    </row>
    <row r="237" spans="5:18" x14ac:dyDescent="0.3">
      <c r="E237">
        <v>224</v>
      </c>
      <c r="F237" t="s">
        <v>14</v>
      </c>
      <c r="H237" t="s">
        <v>13</v>
      </c>
      <c r="I237">
        <f t="shared" ca="1" si="58"/>
        <v>0.69181763657160178</v>
      </c>
      <c r="K237" t="str">
        <f t="shared" si="42"/>
        <v>Huddersfield</v>
      </c>
      <c r="L237">
        <f t="shared" ca="1" si="43"/>
        <v>5</v>
      </c>
      <c r="M237" t="str">
        <f t="shared" si="44"/>
        <v>Swansea City</v>
      </c>
      <c r="N237">
        <f t="shared" ca="1" si="52"/>
        <v>1</v>
      </c>
      <c r="O237" t="str">
        <f t="shared" ca="1" si="53"/>
        <v>Huddersfield</v>
      </c>
      <c r="P237" t="str">
        <f t="shared" ca="1" si="54"/>
        <v>Swansea City</v>
      </c>
      <c r="Q237" t="str">
        <f t="shared" ca="1" si="55"/>
        <v>Not Draw</v>
      </c>
      <c r="R237" t="str">
        <f t="shared" ca="1" si="56"/>
        <v>Not Draw</v>
      </c>
    </row>
    <row r="238" spans="5:18" x14ac:dyDescent="0.3">
      <c r="E238">
        <v>225</v>
      </c>
      <c r="F238" t="s">
        <v>8</v>
      </c>
      <c r="H238" t="s">
        <v>10</v>
      </c>
      <c r="I238">
        <f t="shared" ca="1" si="58"/>
        <v>0.81732011883780364</v>
      </c>
      <c r="K238" t="str">
        <f t="shared" si="42"/>
        <v>Watford</v>
      </c>
      <c r="L238">
        <f t="shared" ca="1" si="43"/>
        <v>3</v>
      </c>
      <c r="M238" t="str">
        <f t="shared" si="44"/>
        <v>Brighton</v>
      </c>
      <c r="N238">
        <f t="shared" ca="1" si="52"/>
        <v>2</v>
      </c>
      <c r="O238" t="str">
        <f t="shared" ca="1" si="53"/>
        <v>Watford</v>
      </c>
      <c r="P238" t="str">
        <f t="shared" ca="1" si="54"/>
        <v>Brighton</v>
      </c>
      <c r="Q238" t="str">
        <f t="shared" ca="1" si="55"/>
        <v>Not Draw</v>
      </c>
      <c r="R238" t="str">
        <f t="shared" ca="1" si="56"/>
        <v>Not Draw</v>
      </c>
    </row>
    <row r="239" spans="5:18" x14ac:dyDescent="0.3">
      <c r="E239">
        <v>226</v>
      </c>
      <c r="F239" t="s">
        <v>11</v>
      </c>
      <c r="H239" t="s">
        <v>16</v>
      </c>
      <c r="I239">
        <f t="shared" ca="1" si="58"/>
        <v>0.45084031776525446</v>
      </c>
      <c r="K239" t="str">
        <f t="shared" si="42"/>
        <v>Crystal Palace</v>
      </c>
      <c r="L239">
        <f t="shared" ca="1" si="43"/>
        <v>0</v>
      </c>
      <c r="M239" t="str">
        <f t="shared" si="44"/>
        <v>West Ham United</v>
      </c>
      <c r="N239">
        <f t="shared" ca="1" si="52"/>
        <v>1</v>
      </c>
      <c r="O239" t="str">
        <f t="shared" ca="1" si="53"/>
        <v>West Ham United</v>
      </c>
      <c r="P239" t="str">
        <f t="shared" ca="1" si="54"/>
        <v>Crystal Palace</v>
      </c>
      <c r="Q239" t="str">
        <f t="shared" ca="1" si="55"/>
        <v>Not Draw</v>
      </c>
      <c r="R239" t="str">
        <f t="shared" ca="1" si="56"/>
        <v>Not Draw</v>
      </c>
    </row>
    <row r="240" spans="5:18" x14ac:dyDescent="0.3">
      <c r="E240">
        <v>227</v>
      </c>
      <c r="F240" t="s">
        <v>23</v>
      </c>
      <c r="H240" t="s">
        <v>3</v>
      </c>
      <c r="I240">
        <f t="shared" ca="1" si="58"/>
        <v>0.1514414392617921</v>
      </c>
      <c r="K240" t="str">
        <f t="shared" si="42"/>
        <v>Newcastle</v>
      </c>
      <c r="L240">
        <f t="shared" ca="1" si="43"/>
        <v>2</v>
      </c>
      <c r="M240" t="str">
        <f t="shared" si="44"/>
        <v>Arsenal</v>
      </c>
      <c r="N240">
        <f t="shared" ca="1" si="52"/>
        <v>3</v>
      </c>
      <c r="O240" t="str">
        <f t="shared" ca="1" si="53"/>
        <v>Arsenal</v>
      </c>
      <c r="P240" t="str">
        <f t="shared" ca="1" si="54"/>
        <v>Newcastle</v>
      </c>
      <c r="Q240" t="str">
        <f t="shared" ca="1" si="55"/>
        <v>Not Draw</v>
      </c>
      <c r="R240" t="str">
        <f t="shared" ca="1" si="56"/>
        <v>Not Draw</v>
      </c>
    </row>
    <row r="241" spans="5:18" x14ac:dyDescent="0.3">
      <c r="E241">
        <v>228</v>
      </c>
      <c r="F241" t="s">
        <v>4</v>
      </c>
      <c r="H241" t="s">
        <v>6</v>
      </c>
      <c r="I241">
        <f t="shared" ca="1" si="58"/>
        <v>0.17877728312462848</v>
      </c>
      <c r="K241" t="str">
        <f t="shared" si="42"/>
        <v>Tottenham Hotspur</v>
      </c>
      <c r="L241">
        <f t="shared" ca="1" si="43"/>
        <v>1</v>
      </c>
      <c r="M241" t="str">
        <f t="shared" si="44"/>
        <v>Everton</v>
      </c>
      <c r="N241">
        <f t="shared" ca="1" si="52"/>
        <v>0</v>
      </c>
      <c r="O241" t="str">
        <f t="shared" ca="1" si="53"/>
        <v>Tottenham Hotspur</v>
      </c>
      <c r="P241" t="str">
        <f t="shared" ca="1" si="54"/>
        <v>Everton</v>
      </c>
      <c r="Q241" t="str">
        <f t="shared" ca="1" si="55"/>
        <v>Not Draw</v>
      </c>
      <c r="R241" t="str">
        <f t="shared" ca="1" si="56"/>
        <v>Not Draw</v>
      </c>
    </row>
    <row r="242" spans="5:18" x14ac:dyDescent="0.3">
      <c r="E242">
        <v>229</v>
      </c>
      <c r="F242" t="s">
        <v>12</v>
      </c>
      <c r="H242" t="s">
        <v>15</v>
      </c>
      <c r="I242">
        <f t="shared" ca="1" si="58"/>
        <v>0.92195333833881865</v>
      </c>
      <c r="K242" t="str">
        <f t="shared" si="42"/>
        <v>Southampton</v>
      </c>
      <c r="L242">
        <f t="shared" ca="1" si="43"/>
        <v>1</v>
      </c>
      <c r="M242" t="str">
        <f t="shared" si="44"/>
        <v>West Bromwich</v>
      </c>
      <c r="N242">
        <f t="shared" ca="1" si="52"/>
        <v>1</v>
      </c>
      <c r="O242" t="str">
        <f t="shared" ca="1" si="53"/>
        <v>Draw</v>
      </c>
      <c r="P242" t="str">
        <f t="shared" ca="1" si="54"/>
        <v>Draw</v>
      </c>
      <c r="Q242" t="str">
        <f t="shared" ca="1" si="55"/>
        <v>Southampton</v>
      </c>
      <c r="R242" t="str">
        <f t="shared" ca="1" si="56"/>
        <v>West Bromwich</v>
      </c>
    </row>
    <row r="243" spans="5:18" x14ac:dyDescent="0.3">
      <c r="F243">
        <v>23</v>
      </c>
      <c r="K243">
        <f t="shared" si="42"/>
        <v>23</v>
      </c>
      <c r="L243" t="e">
        <f t="shared" ca="1" si="43"/>
        <v>#N/A</v>
      </c>
      <c r="M243">
        <f t="shared" si="44"/>
        <v>0</v>
      </c>
      <c r="N243" t="e">
        <f t="shared" ca="1" si="52"/>
        <v>#N/A</v>
      </c>
      <c r="O243" t="e">
        <f t="shared" ca="1" si="53"/>
        <v>#N/A</v>
      </c>
      <c r="P243" t="e">
        <f t="shared" ca="1" si="54"/>
        <v>#N/A</v>
      </c>
      <c r="Q243" t="e">
        <f t="shared" ca="1" si="55"/>
        <v>#N/A</v>
      </c>
      <c r="R243" t="e">
        <f t="shared" ca="1" si="56"/>
        <v>#N/A</v>
      </c>
    </row>
    <row r="244" spans="5:18" x14ac:dyDescent="0.3">
      <c r="E244">
        <v>230</v>
      </c>
      <c r="F244" t="s">
        <v>10</v>
      </c>
      <c r="H244" t="s">
        <v>14</v>
      </c>
      <c r="I244">
        <f t="shared" ref="I244:I253" ca="1" si="59">IF(F244="No Team",-1,RAND())</f>
        <v>0.31808365369534652</v>
      </c>
      <c r="K244" t="str">
        <f t="shared" si="42"/>
        <v>Brighton</v>
      </c>
      <c r="L244">
        <f t="shared" ca="1" si="43"/>
        <v>2</v>
      </c>
      <c r="M244" t="str">
        <f t="shared" si="44"/>
        <v>Huddersfield</v>
      </c>
      <c r="N244">
        <f t="shared" ca="1" si="52"/>
        <v>2</v>
      </c>
      <c r="O244" t="str">
        <f t="shared" ca="1" si="53"/>
        <v>Draw</v>
      </c>
      <c r="P244" t="str">
        <f t="shared" ca="1" si="54"/>
        <v>Draw</v>
      </c>
      <c r="Q244" t="str">
        <f t="shared" ca="1" si="55"/>
        <v>Brighton</v>
      </c>
      <c r="R244" t="str">
        <f t="shared" ca="1" si="56"/>
        <v>Huddersfield</v>
      </c>
    </row>
    <row r="245" spans="5:18" x14ac:dyDescent="0.3">
      <c r="E245">
        <v>231</v>
      </c>
      <c r="F245" t="s">
        <v>15</v>
      </c>
      <c r="H245" t="s">
        <v>23</v>
      </c>
      <c r="I245">
        <f t="shared" ca="1" si="59"/>
        <v>0.57731372239602319</v>
      </c>
      <c r="K245" t="str">
        <f t="shared" si="42"/>
        <v>West Bromwich</v>
      </c>
      <c r="L245">
        <f t="shared" ca="1" si="43"/>
        <v>2</v>
      </c>
      <c r="M245" t="str">
        <f t="shared" si="44"/>
        <v>Newcastle</v>
      </c>
      <c r="N245">
        <f t="shared" ca="1" si="52"/>
        <v>2</v>
      </c>
      <c r="O245" t="str">
        <f t="shared" ca="1" si="53"/>
        <v>Draw</v>
      </c>
      <c r="P245" t="str">
        <f t="shared" ca="1" si="54"/>
        <v>Draw</v>
      </c>
      <c r="Q245" t="str">
        <f t="shared" ca="1" si="55"/>
        <v>West Bromwich</v>
      </c>
      <c r="R245" t="str">
        <f t="shared" ca="1" si="56"/>
        <v>Newcastle</v>
      </c>
    </row>
    <row r="246" spans="5:18" x14ac:dyDescent="0.3">
      <c r="E246">
        <v>232</v>
      </c>
      <c r="F246" t="s">
        <v>0</v>
      </c>
      <c r="H246" t="s">
        <v>8</v>
      </c>
      <c r="I246">
        <f t="shared" ca="1" si="59"/>
        <v>0.93628551367112001</v>
      </c>
      <c r="K246" t="str">
        <f t="shared" si="42"/>
        <v>Manchester City</v>
      </c>
      <c r="L246">
        <f t="shared" ca="1" si="43"/>
        <v>0</v>
      </c>
      <c r="M246" t="str">
        <f t="shared" si="44"/>
        <v>Watford</v>
      </c>
      <c r="N246">
        <f t="shared" ca="1" si="52"/>
        <v>0</v>
      </c>
      <c r="O246" t="str">
        <f t="shared" ca="1" si="53"/>
        <v>Draw</v>
      </c>
      <c r="P246" t="str">
        <f t="shared" ca="1" si="54"/>
        <v>Draw</v>
      </c>
      <c r="Q246" t="str">
        <f t="shared" ca="1" si="55"/>
        <v>Manchester City</v>
      </c>
      <c r="R246" t="str">
        <f t="shared" ca="1" si="56"/>
        <v>Watford</v>
      </c>
    </row>
    <row r="247" spans="5:18" x14ac:dyDescent="0.3">
      <c r="E247">
        <v>233</v>
      </c>
      <c r="F247" t="s">
        <v>3</v>
      </c>
      <c r="H247" t="s">
        <v>11</v>
      </c>
      <c r="I247">
        <f t="shared" ca="1" si="59"/>
        <v>0.15629392106913031</v>
      </c>
      <c r="K247" t="str">
        <f t="shared" si="42"/>
        <v>Arsenal</v>
      </c>
      <c r="L247">
        <f t="shared" ca="1" si="43"/>
        <v>4</v>
      </c>
      <c r="M247" t="str">
        <f t="shared" si="44"/>
        <v>Crystal Palace</v>
      </c>
      <c r="N247">
        <f t="shared" ca="1" si="52"/>
        <v>0</v>
      </c>
      <c r="O247" t="str">
        <f t="shared" ca="1" si="53"/>
        <v>Arsenal</v>
      </c>
      <c r="P247" t="str">
        <f t="shared" ca="1" si="54"/>
        <v>Crystal Palace</v>
      </c>
      <c r="Q247" t="str">
        <f t="shared" ca="1" si="55"/>
        <v>Not Draw</v>
      </c>
      <c r="R247" t="str">
        <f t="shared" ca="1" si="56"/>
        <v>Not Draw</v>
      </c>
    </row>
    <row r="248" spans="5:18" x14ac:dyDescent="0.3">
      <c r="E248">
        <v>234</v>
      </c>
      <c r="F248" t="s">
        <v>16</v>
      </c>
      <c r="H248" t="s">
        <v>9</v>
      </c>
      <c r="I248">
        <f t="shared" ca="1" si="59"/>
        <v>0.53948519644712312</v>
      </c>
      <c r="K248" t="str">
        <f t="shared" si="42"/>
        <v>West Ham United</v>
      </c>
      <c r="L248">
        <f t="shared" ca="1" si="43"/>
        <v>0</v>
      </c>
      <c r="M248" t="str">
        <f t="shared" si="44"/>
        <v>Bournemouth</v>
      </c>
      <c r="N248">
        <f t="shared" ca="1" si="52"/>
        <v>0</v>
      </c>
      <c r="O248" t="str">
        <f t="shared" ca="1" si="53"/>
        <v>Draw</v>
      </c>
      <c r="P248" t="str">
        <f t="shared" ca="1" si="54"/>
        <v>Draw</v>
      </c>
      <c r="Q248" t="str">
        <f t="shared" ca="1" si="55"/>
        <v>West Ham United</v>
      </c>
      <c r="R248" t="str">
        <f t="shared" ca="1" si="56"/>
        <v>Bournemouth</v>
      </c>
    </row>
    <row r="249" spans="5:18" x14ac:dyDescent="0.3">
      <c r="E249">
        <v>235</v>
      </c>
      <c r="F249" t="s">
        <v>6</v>
      </c>
      <c r="H249" t="s">
        <v>17</v>
      </c>
      <c r="I249">
        <f t="shared" ca="1" si="59"/>
        <v>0.58640935148396034</v>
      </c>
      <c r="K249" t="str">
        <f t="shared" si="42"/>
        <v>Everton</v>
      </c>
      <c r="L249">
        <f t="shared" ca="1" si="43"/>
        <v>0</v>
      </c>
      <c r="M249" t="str">
        <f t="shared" si="44"/>
        <v>Stoke City</v>
      </c>
      <c r="N249">
        <f t="shared" ca="1" si="52"/>
        <v>1</v>
      </c>
      <c r="O249" t="str">
        <f t="shared" ca="1" si="53"/>
        <v>Stoke City</v>
      </c>
      <c r="P249" t="str">
        <f t="shared" ca="1" si="54"/>
        <v>Everton</v>
      </c>
      <c r="Q249" t="str">
        <f t="shared" ca="1" si="55"/>
        <v>Not Draw</v>
      </c>
      <c r="R249" t="str">
        <f t="shared" ca="1" si="56"/>
        <v>Not Draw</v>
      </c>
    </row>
    <row r="250" spans="5:18" x14ac:dyDescent="0.3">
      <c r="E250">
        <v>236</v>
      </c>
      <c r="F250" t="s">
        <v>7</v>
      </c>
      <c r="H250" t="s">
        <v>5</v>
      </c>
      <c r="I250">
        <f t="shared" ca="1" si="59"/>
        <v>0.40133153293503854</v>
      </c>
      <c r="K250" t="str">
        <f t="shared" si="42"/>
        <v>Burnley</v>
      </c>
      <c r="L250">
        <f t="shared" ca="1" si="43"/>
        <v>5</v>
      </c>
      <c r="M250" t="str">
        <f t="shared" si="44"/>
        <v>Liverpool</v>
      </c>
      <c r="N250">
        <f t="shared" ca="1" si="52"/>
        <v>2</v>
      </c>
      <c r="O250" t="str">
        <f t="shared" ca="1" si="53"/>
        <v>Burnley</v>
      </c>
      <c r="P250" t="str">
        <f t="shared" ca="1" si="54"/>
        <v>Liverpool</v>
      </c>
      <c r="Q250" t="str">
        <f t="shared" ca="1" si="55"/>
        <v>Not Draw</v>
      </c>
      <c r="R250" t="str">
        <f t="shared" ca="1" si="56"/>
        <v>Not Draw</v>
      </c>
    </row>
    <row r="251" spans="5:18" x14ac:dyDescent="0.3">
      <c r="E251">
        <v>237</v>
      </c>
      <c r="F251" t="s">
        <v>18</v>
      </c>
      <c r="H251" t="s">
        <v>12</v>
      </c>
      <c r="I251">
        <f t="shared" ca="1" si="59"/>
        <v>5.9879338465704368E-2</v>
      </c>
      <c r="K251" t="str">
        <f t="shared" si="42"/>
        <v>Leicester City</v>
      </c>
      <c r="L251">
        <f t="shared" ca="1" si="43"/>
        <v>0</v>
      </c>
      <c r="M251" t="str">
        <f t="shared" si="44"/>
        <v>Southampton</v>
      </c>
      <c r="N251">
        <f t="shared" ca="1" si="52"/>
        <v>2</v>
      </c>
      <c r="O251" t="str">
        <f t="shared" ca="1" si="53"/>
        <v>Southampton</v>
      </c>
      <c r="P251" t="str">
        <f t="shared" ca="1" si="54"/>
        <v>Leicester City</v>
      </c>
      <c r="Q251" t="str">
        <f t="shared" ca="1" si="55"/>
        <v>Not Draw</v>
      </c>
      <c r="R251" t="str">
        <f t="shared" ca="1" si="56"/>
        <v>Not Draw</v>
      </c>
    </row>
    <row r="252" spans="5:18" x14ac:dyDescent="0.3">
      <c r="E252">
        <v>238</v>
      </c>
      <c r="F252" t="s">
        <v>2</v>
      </c>
      <c r="H252" t="s">
        <v>4</v>
      </c>
      <c r="I252">
        <f t="shared" ca="1" si="59"/>
        <v>0.29288038531856841</v>
      </c>
      <c r="K252" t="str">
        <f t="shared" si="42"/>
        <v>Chelsea</v>
      </c>
      <c r="L252">
        <f t="shared" ca="1" si="43"/>
        <v>5</v>
      </c>
      <c r="M252" t="str">
        <f t="shared" si="44"/>
        <v>Tottenham Hotspur</v>
      </c>
      <c r="N252">
        <f t="shared" ca="1" si="52"/>
        <v>2</v>
      </c>
      <c r="O252" t="str">
        <f t="shared" ca="1" si="53"/>
        <v>Chelsea</v>
      </c>
      <c r="P252" t="str">
        <f t="shared" ca="1" si="54"/>
        <v>Tottenham Hotspur</v>
      </c>
      <c r="Q252" t="str">
        <f t="shared" ca="1" si="55"/>
        <v>Not Draw</v>
      </c>
      <c r="R252" t="str">
        <f t="shared" ca="1" si="56"/>
        <v>Not Draw</v>
      </c>
    </row>
    <row r="253" spans="5:18" x14ac:dyDescent="0.3">
      <c r="E253">
        <v>239</v>
      </c>
      <c r="F253" t="s">
        <v>13</v>
      </c>
      <c r="H253" t="s">
        <v>1</v>
      </c>
      <c r="I253">
        <f t="shared" ca="1" si="59"/>
        <v>0.15900742434298321</v>
      </c>
      <c r="K253" t="str">
        <f t="shared" si="42"/>
        <v>Swansea City</v>
      </c>
      <c r="L253">
        <f t="shared" ca="1" si="43"/>
        <v>2</v>
      </c>
      <c r="M253" t="str">
        <f t="shared" si="44"/>
        <v>Manchester United</v>
      </c>
      <c r="N253">
        <f t="shared" ca="1" si="52"/>
        <v>2</v>
      </c>
      <c r="O253" t="str">
        <f t="shared" ca="1" si="53"/>
        <v>Draw</v>
      </c>
      <c r="P253" t="str">
        <f t="shared" ca="1" si="54"/>
        <v>Draw</v>
      </c>
      <c r="Q253" t="str">
        <f t="shared" ca="1" si="55"/>
        <v>Swansea City</v>
      </c>
      <c r="R253" t="str">
        <f t="shared" ca="1" si="56"/>
        <v>Manchester United</v>
      </c>
    </row>
    <row r="254" spans="5:18" x14ac:dyDescent="0.3">
      <c r="F254">
        <v>24</v>
      </c>
      <c r="K254">
        <f t="shared" si="42"/>
        <v>24</v>
      </c>
      <c r="L254" t="e">
        <f t="shared" ca="1" si="43"/>
        <v>#N/A</v>
      </c>
      <c r="M254">
        <f t="shared" si="44"/>
        <v>0</v>
      </c>
      <c r="N254" t="e">
        <f t="shared" ca="1" si="52"/>
        <v>#N/A</v>
      </c>
      <c r="O254" t="e">
        <f t="shared" ca="1" si="53"/>
        <v>#N/A</v>
      </c>
      <c r="P254" t="e">
        <f t="shared" ca="1" si="54"/>
        <v>#N/A</v>
      </c>
      <c r="Q254" t="e">
        <f t="shared" ca="1" si="55"/>
        <v>#N/A</v>
      </c>
      <c r="R254" t="e">
        <f t="shared" ca="1" si="56"/>
        <v>#N/A</v>
      </c>
    </row>
    <row r="255" spans="5:18" x14ac:dyDescent="0.3">
      <c r="E255">
        <v>240</v>
      </c>
      <c r="F255" t="s">
        <v>14</v>
      </c>
      <c r="H255" t="s">
        <v>0</v>
      </c>
      <c r="I255">
        <f t="shared" ref="I255:I264" ca="1" si="60">IF(F255="No Team",-1,RAND())</f>
        <v>0.46940768771883257</v>
      </c>
      <c r="K255" t="str">
        <f t="shared" si="42"/>
        <v>Huddersfield</v>
      </c>
      <c r="L255">
        <f t="shared" ca="1" si="43"/>
        <v>0</v>
      </c>
      <c r="M255" t="str">
        <f t="shared" si="44"/>
        <v>Manchester City</v>
      </c>
      <c r="N255">
        <f t="shared" ca="1" si="52"/>
        <v>3</v>
      </c>
      <c r="O255" t="str">
        <f t="shared" ca="1" si="53"/>
        <v>Manchester City</v>
      </c>
      <c r="P255" t="str">
        <f t="shared" ca="1" si="54"/>
        <v>Huddersfield</v>
      </c>
      <c r="Q255" t="str">
        <f t="shared" ca="1" si="55"/>
        <v>Not Draw</v>
      </c>
      <c r="R255" t="str">
        <f t="shared" ca="1" si="56"/>
        <v>Not Draw</v>
      </c>
    </row>
    <row r="256" spans="5:18" x14ac:dyDescent="0.3">
      <c r="E256">
        <v>241</v>
      </c>
      <c r="F256" t="s">
        <v>23</v>
      </c>
      <c r="H256" t="s">
        <v>18</v>
      </c>
      <c r="I256">
        <f t="shared" ca="1" si="60"/>
        <v>0.6416688476178577</v>
      </c>
      <c r="K256" t="str">
        <f t="shared" si="42"/>
        <v>Newcastle</v>
      </c>
      <c r="L256">
        <f t="shared" ca="1" si="43"/>
        <v>0</v>
      </c>
      <c r="M256" t="str">
        <f t="shared" si="44"/>
        <v>Leicester City</v>
      </c>
      <c r="N256">
        <f t="shared" ca="1" si="52"/>
        <v>1</v>
      </c>
      <c r="O256" t="str">
        <f t="shared" ca="1" si="53"/>
        <v>Leicester City</v>
      </c>
      <c r="P256" t="str">
        <f t="shared" ca="1" si="54"/>
        <v>Newcastle</v>
      </c>
      <c r="Q256" t="str">
        <f t="shared" ca="1" si="55"/>
        <v>Not Draw</v>
      </c>
      <c r="R256" t="str">
        <f t="shared" ca="1" si="56"/>
        <v>Not Draw</v>
      </c>
    </row>
    <row r="257" spans="5:18" x14ac:dyDescent="0.3">
      <c r="E257">
        <v>242</v>
      </c>
      <c r="F257" t="s">
        <v>1</v>
      </c>
      <c r="H257" t="s">
        <v>10</v>
      </c>
      <c r="I257">
        <f t="shared" ca="1" si="60"/>
        <v>0.20764240804295542</v>
      </c>
      <c r="K257" t="str">
        <f t="shared" si="42"/>
        <v>Manchester United</v>
      </c>
      <c r="L257">
        <f t="shared" ca="1" si="43"/>
        <v>2</v>
      </c>
      <c r="M257" t="str">
        <f t="shared" si="44"/>
        <v>Brighton</v>
      </c>
      <c r="N257">
        <f t="shared" ca="1" si="52"/>
        <v>0</v>
      </c>
      <c r="O257" t="str">
        <f t="shared" ca="1" si="53"/>
        <v>Manchester United</v>
      </c>
      <c r="P257" t="str">
        <f t="shared" ca="1" si="54"/>
        <v>Brighton</v>
      </c>
      <c r="Q257" t="str">
        <f t="shared" ca="1" si="55"/>
        <v>Not Draw</v>
      </c>
      <c r="R257" t="str">
        <f t="shared" ca="1" si="56"/>
        <v>Not Draw</v>
      </c>
    </row>
    <row r="258" spans="5:18" x14ac:dyDescent="0.3">
      <c r="E258">
        <v>243</v>
      </c>
      <c r="F258" t="s">
        <v>5</v>
      </c>
      <c r="H258" t="s">
        <v>16</v>
      </c>
      <c r="I258">
        <f t="shared" ca="1" si="60"/>
        <v>0.39070445515507968</v>
      </c>
      <c r="K258" t="str">
        <f t="shared" si="42"/>
        <v>Liverpool</v>
      </c>
      <c r="L258">
        <f t="shared" ca="1" si="43"/>
        <v>4</v>
      </c>
      <c r="M258" t="str">
        <f t="shared" si="44"/>
        <v>West Ham United</v>
      </c>
      <c r="N258">
        <f t="shared" ca="1" si="52"/>
        <v>1</v>
      </c>
      <c r="O258" t="str">
        <f t="shared" ca="1" si="53"/>
        <v>Liverpool</v>
      </c>
      <c r="P258" t="str">
        <f t="shared" ca="1" si="54"/>
        <v>West Ham United</v>
      </c>
      <c r="Q258" t="str">
        <f t="shared" ca="1" si="55"/>
        <v>Not Draw</v>
      </c>
      <c r="R258" t="str">
        <f t="shared" ca="1" si="56"/>
        <v>Not Draw</v>
      </c>
    </row>
    <row r="259" spans="5:18" x14ac:dyDescent="0.3">
      <c r="E259">
        <v>244</v>
      </c>
      <c r="F259" t="s">
        <v>9</v>
      </c>
      <c r="H259" t="s">
        <v>3</v>
      </c>
      <c r="I259">
        <f t="shared" ca="1" si="60"/>
        <v>0.69387704589357035</v>
      </c>
      <c r="K259" t="str">
        <f t="shared" ref="K259:K322" si="61">F259</f>
        <v>Bournemouth</v>
      </c>
      <c r="L259">
        <f t="shared" ref="L259:L322" ca="1" si="62">MAX(0,(VLOOKUP(RAND(),$S$2:$T$9,2,1)+(IF(RAND()+((VLOOKUP(K259,$B$23:$C$42,2,1)-VLOOKUP(M259,$B$23:$C$42,2,1))/2)&gt;0.9,1,0)+(IF(RAND()+((VLOOKUP(K259,$B$23:$C$42,2,1)-VLOOKUP(M259,$B$23:$C$42,2,1))/2)&lt;0,-1,0)))))</f>
        <v>0</v>
      </c>
      <c r="M259" t="str">
        <f t="shared" ref="M259:M322" si="63">H259</f>
        <v>Arsenal</v>
      </c>
      <c r="N259">
        <f t="shared" ca="1" si="52"/>
        <v>5</v>
      </c>
      <c r="O259" t="str">
        <f t="shared" ca="1" si="53"/>
        <v>Arsenal</v>
      </c>
      <c r="P259" t="str">
        <f t="shared" ca="1" si="54"/>
        <v>Bournemouth</v>
      </c>
      <c r="Q259" t="str">
        <f t="shared" ca="1" si="55"/>
        <v>Not Draw</v>
      </c>
      <c r="R259" t="str">
        <f t="shared" ca="1" si="56"/>
        <v>Not Draw</v>
      </c>
    </row>
    <row r="260" spans="5:18" x14ac:dyDescent="0.3">
      <c r="E260">
        <v>245</v>
      </c>
      <c r="F260" t="s">
        <v>11</v>
      </c>
      <c r="H260" t="s">
        <v>15</v>
      </c>
      <c r="I260">
        <f t="shared" ca="1" si="60"/>
        <v>0.91382561231297543</v>
      </c>
      <c r="K260" t="str">
        <f t="shared" si="61"/>
        <v>Crystal Palace</v>
      </c>
      <c r="L260">
        <f t="shared" ca="1" si="62"/>
        <v>3</v>
      </c>
      <c r="M260" t="str">
        <f t="shared" si="63"/>
        <v>West Bromwich</v>
      </c>
      <c r="N260">
        <f t="shared" ca="1" si="52"/>
        <v>3</v>
      </c>
      <c r="O260" t="str">
        <f t="shared" ca="1" si="53"/>
        <v>Draw</v>
      </c>
      <c r="P260" t="str">
        <f t="shared" ca="1" si="54"/>
        <v>Draw</v>
      </c>
      <c r="Q260" t="str">
        <f t="shared" ca="1" si="55"/>
        <v>Crystal Palace</v>
      </c>
      <c r="R260" t="str">
        <f t="shared" ca="1" si="56"/>
        <v>West Bromwich</v>
      </c>
    </row>
    <row r="261" spans="5:18" x14ac:dyDescent="0.3">
      <c r="E261">
        <v>246</v>
      </c>
      <c r="F261" t="s">
        <v>17</v>
      </c>
      <c r="H261" t="s">
        <v>2</v>
      </c>
      <c r="I261">
        <f t="shared" ca="1" si="60"/>
        <v>0.57927532904424761</v>
      </c>
      <c r="K261" t="str">
        <f t="shared" si="61"/>
        <v>Stoke City</v>
      </c>
      <c r="L261">
        <f t="shared" ca="1" si="62"/>
        <v>0</v>
      </c>
      <c r="M261" t="str">
        <f t="shared" si="63"/>
        <v>Chelsea</v>
      </c>
      <c r="N261">
        <f t="shared" ca="1" si="52"/>
        <v>2</v>
      </c>
      <c r="O261" t="str">
        <f t="shared" ca="1" si="53"/>
        <v>Chelsea</v>
      </c>
      <c r="P261" t="str">
        <f t="shared" ca="1" si="54"/>
        <v>Stoke City</v>
      </c>
      <c r="Q261" t="str">
        <f t="shared" ca="1" si="55"/>
        <v>Not Draw</v>
      </c>
      <c r="R261" t="str">
        <f t="shared" ca="1" si="56"/>
        <v>Not Draw</v>
      </c>
    </row>
    <row r="262" spans="5:18" x14ac:dyDescent="0.3">
      <c r="E262">
        <v>247</v>
      </c>
      <c r="F262" t="s">
        <v>12</v>
      </c>
      <c r="H262" t="s">
        <v>6</v>
      </c>
      <c r="I262">
        <f t="shared" ca="1" si="60"/>
        <v>8.1787615515846013E-2</v>
      </c>
      <c r="K262" t="str">
        <f t="shared" si="61"/>
        <v>Southampton</v>
      </c>
      <c r="L262">
        <f t="shared" ca="1" si="62"/>
        <v>2</v>
      </c>
      <c r="M262" t="str">
        <f t="shared" si="63"/>
        <v>Everton</v>
      </c>
      <c r="N262">
        <f t="shared" ca="1" si="52"/>
        <v>1</v>
      </c>
      <c r="O262" t="str">
        <f t="shared" ca="1" si="53"/>
        <v>Southampton</v>
      </c>
      <c r="P262" t="str">
        <f t="shared" ca="1" si="54"/>
        <v>Everton</v>
      </c>
      <c r="Q262" t="str">
        <f t="shared" ca="1" si="55"/>
        <v>Not Draw</v>
      </c>
      <c r="R262" t="str">
        <f t="shared" ca="1" si="56"/>
        <v>Not Draw</v>
      </c>
    </row>
    <row r="263" spans="5:18" x14ac:dyDescent="0.3">
      <c r="E263">
        <v>248</v>
      </c>
      <c r="F263" t="s">
        <v>8</v>
      </c>
      <c r="H263" t="s">
        <v>7</v>
      </c>
      <c r="I263">
        <f t="shared" ca="1" si="60"/>
        <v>0.52079002144861331</v>
      </c>
      <c r="K263" t="str">
        <f t="shared" si="61"/>
        <v>Watford</v>
      </c>
      <c r="L263">
        <f t="shared" ca="1" si="62"/>
        <v>1</v>
      </c>
      <c r="M263" t="str">
        <f t="shared" si="63"/>
        <v>Burnley</v>
      </c>
      <c r="N263">
        <f t="shared" ca="1" si="52"/>
        <v>0</v>
      </c>
      <c r="O263" t="str">
        <f t="shared" ca="1" si="53"/>
        <v>Watford</v>
      </c>
      <c r="P263" t="str">
        <f t="shared" ca="1" si="54"/>
        <v>Burnley</v>
      </c>
      <c r="Q263" t="str">
        <f t="shared" ca="1" si="55"/>
        <v>Not Draw</v>
      </c>
      <c r="R263" t="str">
        <f t="shared" ca="1" si="56"/>
        <v>Not Draw</v>
      </c>
    </row>
    <row r="264" spans="5:18" x14ac:dyDescent="0.3">
      <c r="E264">
        <v>249</v>
      </c>
      <c r="F264" t="s">
        <v>4</v>
      </c>
      <c r="H264" t="s">
        <v>13</v>
      </c>
      <c r="I264">
        <f t="shared" ca="1" si="60"/>
        <v>0.37806205395756787</v>
      </c>
      <c r="K264" t="str">
        <f t="shared" si="61"/>
        <v>Tottenham Hotspur</v>
      </c>
      <c r="L264">
        <f t="shared" ca="1" si="62"/>
        <v>3</v>
      </c>
      <c r="M264" t="str">
        <f t="shared" si="63"/>
        <v>Swansea City</v>
      </c>
      <c r="N264">
        <f t="shared" ca="1" si="52"/>
        <v>0</v>
      </c>
      <c r="O264" t="str">
        <f t="shared" ca="1" si="53"/>
        <v>Tottenham Hotspur</v>
      </c>
      <c r="P264" t="str">
        <f t="shared" ca="1" si="54"/>
        <v>Swansea City</v>
      </c>
      <c r="Q264" t="str">
        <f t="shared" ca="1" si="55"/>
        <v>Not Draw</v>
      </c>
      <c r="R264" t="str">
        <f t="shared" ca="1" si="56"/>
        <v>Not Draw</v>
      </c>
    </row>
    <row r="265" spans="5:18" x14ac:dyDescent="0.3">
      <c r="F265">
        <v>25</v>
      </c>
      <c r="K265">
        <f t="shared" si="61"/>
        <v>25</v>
      </c>
      <c r="L265" t="e">
        <f t="shared" ca="1" si="62"/>
        <v>#N/A</v>
      </c>
      <c r="M265">
        <f t="shared" si="63"/>
        <v>0</v>
      </c>
      <c r="N265" t="e">
        <f t="shared" ca="1" si="52"/>
        <v>#N/A</v>
      </c>
      <c r="O265" t="e">
        <f t="shared" ca="1" si="53"/>
        <v>#N/A</v>
      </c>
      <c r="P265" t="e">
        <f t="shared" ca="1" si="54"/>
        <v>#N/A</v>
      </c>
      <c r="Q265" t="e">
        <f t="shared" ca="1" si="55"/>
        <v>#N/A</v>
      </c>
      <c r="R265" t="e">
        <f t="shared" ca="1" si="56"/>
        <v>#N/A</v>
      </c>
    </row>
    <row r="266" spans="5:18" x14ac:dyDescent="0.3">
      <c r="E266">
        <v>250</v>
      </c>
      <c r="F266" t="s">
        <v>6</v>
      </c>
      <c r="H266" t="s">
        <v>23</v>
      </c>
      <c r="I266">
        <f t="shared" ref="I266:I275" ca="1" si="64">IF(F266="No Team",-1,RAND())</f>
        <v>0.92134541238535272</v>
      </c>
      <c r="K266" t="str">
        <f t="shared" si="61"/>
        <v>Everton</v>
      </c>
      <c r="L266">
        <f t="shared" ca="1" si="62"/>
        <v>1</v>
      </c>
      <c r="M266" t="str">
        <f t="shared" si="63"/>
        <v>Newcastle</v>
      </c>
      <c r="N266">
        <f t="shared" ca="1" si="52"/>
        <v>0</v>
      </c>
      <c r="O266" t="str">
        <f t="shared" ca="1" si="53"/>
        <v>Everton</v>
      </c>
      <c r="P266" t="str">
        <f t="shared" ca="1" si="54"/>
        <v>Newcastle</v>
      </c>
      <c r="Q266" t="str">
        <f t="shared" ca="1" si="55"/>
        <v>Not Draw</v>
      </c>
      <c r="R266" t="str">
        <f t="shared" ca="1" si="56"/>
        <v>Not Draw</v>
      </c>
    </row>
    <row r="267" spans="5:18" x14ac:dyDescent="0.3">
      <c r="E267">
        <v>251</v>
      </c>
      <c r="F267" t="s">
        <v>13</v>
      </c>
      <c r="H267" t="s">
        <v>17</v>
      </c>
      <c r="I267">
        <f t="shared" ca="1" si="64"/>
        <v>2.5654718490284556E-2</v>
      </c>
      <c r="K267" t="str">
        <f t="shared" si="61"/>
        <v>Swansea City</v>
      </c>
      <c r="L267">
        <f t="shared" ca="1" si="62"/>
        <v>2</v>
      </c>
      <c r="M267" t="str">
        <f t="shared" si="63"/>
        <v>Stoke City</v>
      </c>
      <c r="N267">
        <f t="shared" ca="1" si="52"/>
        <v>0</v>
      </c>
      <c r="O267" t="str">
        <f t="shared" ca="1" si="53"/>
        <v>Swansea City</v>
      </c>
      <c r="P267" t="str">
        <f t="shared" ca="1" si="54"/>
        <v>Stoke City</v>
      </c>
      <c r="Q267" t="str">
        <f t="shared" ca="1" si="55"/>
        <v>Not Draw</v>
      </c>
      <c r="R267" t="str">
        <f t="shared" ca="1" si="56"/>
        <v>Not Draw</v>
      </c>
    </row>
    <row r="268" spans="5:18" x14ac:dyDescent="0.3">
      <c r="E268">
        <v>252</v>
      </c>
      <c r="F268" t="s">
        <v>3</v>
      </c>
      <c r="H268" t="s">
        <v>5</v>
      </c>
      <c r="I268">
        <f t="shared" ca="1" si="64"/>
        <v>0.54735038972800332</v>
      </c>
      <c r="K268" t="str">
        <f t="shared" si="61"/>
        <v>Arsenal</v>
      </c>
      <c r="L268">
        <f t="shared" ca="1" si="62"/>
        <v>1</v>
      </c>
      <c r="M268" t="str">
        <f t="shared" si="63"/>
        <v>Liverpool</v>
      </c>
      <c r="N268">
        <f t="shared" ca="1" si="52"/>
        <v>1</v>
      </c>
      <c r="O268" t="str">
        <f t="shared" ca="1" si="53"/>
        <v>Draw</v>
      </c>
      <c r="P268" t="str">
        <f t="shared" ca="1" si="54"/>
        <v>Draw</v>
      </c>
      <c r="Q268" t="str">
        <f t="shared" ca="1" si="55"/>
        <v>Arsenal</v>
      </c>
      <c r="R268" t="str">
        <f t="shared" ca="1" si="56"/>
        <v>Liverpool</v>
      </c>
    </row>
    <row r="269" spans="5:18" x14ac:dyDescent="0.3">
      <c r="E269">
        <v>253</v>
      </c>
      <c r="F269" t="s">
        <v>7</v>
      </c>
      <c r="H269" t="s">
        <v>14</v>
      </c>
      <c r="I269">
        <f t="shared" ca="1" si="64"/>
        <v>6.1742100565367664E-2</v>
      </c>
      <c r="K269" t="str">
        <f t="shared" si="61"/>
        <v>Burnley</v>
      </c>
      <c r="L269">
        <f t="shared" ca="1" si="62"/>
        <v>0</v>
      </c>
      <c r="M269" t="str">
        <f t="shared" si="63"/>
        <v>Huddersfield</v>
      </c>
      <c r="N269">
        <f t="shared" ca="1" si="52"/>
        <v>1</v>
      </c>
      <c r="O269" t="str">
        <f t="shared" ca="1" si="53"/>
        <v>Huddersfield</v>
      </c>
      <c r="P269" t="str">
        <f t="shared" ca="1" si="54"/>
        <v>Burnley</v>
      </c>
      <c r="Q269" t="str">
        <f t="shared" ca="1" si="55"/>
        <v>Not Draw</v>
      </c>
      <c r="R269" t="str">
        <f t="shared" ca="1" si="56"/>
        <v>Not Draw</v>
      </c>
    </row>
    <row r="270" spans="5:18" x14ac:dyDescent="0.3">
      <c r="E270">
        <v>254</v>
      </c>
      <c r="F270" t="s">
        <v>16</v>
      </c>
      <c r="H270" t="s">
        <v>8</v>
      </c>
      <c r="I270">
        <f t="shared" ca="1" si="64"/>
        <v>0.56319410901197897</v>
      </c>
      <c r="K270" t="str">
        <f t="shared" si="61"/>
        <v>West Ham United</v>
      </c>
      <c r="L270">
        <f t="shared" ca="1" si="62"/>
        <v>1</v>
      </c>
      <c r="M270" t="str">
        <f t="shared" si="63"/>
        <v>Watford</v>
      </c>
      <c r="N270">
        <f t="shared" ca="1" si="52"/>
        <v>2</v>
      </c>
      <c r="O270" t="str">
        <f t="shared" ca="1" si="53"/>
        <v>Watford</v>
      </c>
      <c r="P270" t="str">
        <f t="shared" ca="1" si="54"/>
        <v>West Ham United</v>
      </c>
      <c r="Q270" t="str">
        <f t="shared" ca="1" si="55"/>
        <v>Not Draw</v>
      </c>
      <c r="R270" t="str">
        <f t="shared" ca="1" si="56"/>
        <v>Not Draw</v>
      </c>
    </row>
    <row r="271" spans="5:18" x14ac:dyDescent="0.3">
      <c r="E271">
        <v>255</v>
      </c>
      <c r="F271" t="s">
        <v>2</v>
      </c>
      <c r="H271" t="s">
        <v>12</v>
      </c>
      <c r="I271">
        <f t="shared" ca="1" si="64"/>
        <v>0.61845213036540148</v>
      </c>
      <c r="K271" t="str">
        <f t="shared" si="61"/>
        <v>Chelsea</v>
      </c>
      <c r="L271">
        <f t="shared" ca="1" si="62"/>
        <v>1</v>
      </c>
      <c r="M271" t="str">
        <f t="shared" si="63"/>
        <v>Southampton</v>
      </c>
      <c r="N271">
        <f t="shared" ca="1" si="52"/>
        <v>2</v>
      </c>
      <c r="O271" t="str">
        <f t="shared" ca="1" si="53"/>
        <v>Southampton</v>
      </c>
      <c r="P271" t="str">
        <f t="shared" ca="1" si="54"/>
        <v>Chelsea</v>
      </c>
      <c r="Q271" t="str">
        <f t="shared" ca="1" si="55"/>
        <v>Not Draw</v>
      </c>
      <c r="R271" t="str">
        <f t="shared" ca="1" si="56"/>
        <v>Not Draw</v>
      </c>
    </row>
    <row r="272" spans="5:18" x14ac:dyDescent="0.3">
      <c r="E272">
        <v>256</v>
      </c>
      <c r="F272" t="s">
        <v>15</v>
      </c>
      <c r="H272" t="s">
        <v>9</v>
      </c>
      <c r="I272">
        <f t="shared" ca="1" si="64"/>
        <v>0.34880917554602731</v>
      </c>
      <c r="K272" t="str">
        <f t="shared" si="61"/>
        <v>West Bromwich</v>
      </c>
      <c r="L272">
        <f t="shared" ca="1" si="62"/>
        <v>1</v>
      </c>
      <c r="M272" t="str">
        <f t="shared" si="63"/>
        <v>Bournemouth</v>
      </c>
      <c r="N272">
        <f t="shared" ca="1" si="52"/>
        <v>3</v>
      </c>
      <c r="O272" t="str">
        <f t="shared" ca="1" si="53"/>
        <v>Bournemouth</v>
      </c>
      <c r="P272" t="str">
        <f t="shared" ca="1" si="54"/>
        <v>West Bromwich</v>
      </c>
      <c r="Q272" t="str">
        <f t="shared" ca="1" si="55"/>
        <v>Not Draw</v>
      </c>
      <c r="R272" t="str">
        <f t="shared" ca="1" si="56"/>
        <v>Not Draw</v>
      </c>
    </row>
    <row r="273" spans="5:18" x14ac:dyDescent="0.3">
      <c r="E273">
        <v>257</v>
      </c>
      <c r="F273" t="s">
        <v>0</v>
      </c>
      <c r="H273" t="s">
        <v>1</v>
      </c>
      <c r="I273">
        <f t="shared" ca="1" si="64"/>
        <v>0.41197107830610979</v>
      </c>
      <c r="K273" t="str">
        <f t="shared" si="61"/>
        <v>Manchester City</v>
      </c>
      <c r="L273">
        <f t="shared" ca="1" si="62"/>
        <v>2</v>
      </c>
      <c r="M273" t="str">
        <f t="shared" si="63"/>
        <v>Manchester United</v>
      </c>
      <c r="N273">
        <f t="shared" ca="1" si="52"/>
        <v>2</v>
      </c>
      <c r="O273" t="str">
        <f t="shared" ca="1" si="53"/>
        <v>Draw</v>
      </c>
      <c r="P273" t="str">
        <f t="shared" ca="1" si="54"/>
        <v>Draw</v>
      </c>
      <c r="Q273" t="str">
        <f t="shared" ca="1" si="55"/>
        <v>Manchester City</v>
      </c>
      <c r="R273" t="str">
        <f t="shared" ca="1" si="56"/>
        <v>Manchester United</v>
      </c>
    </row>
    <row r="274" spans="5:18" x14ac:dyDescent="0.3">
      <c r="E274">
        <v>258</v>
      </c>
      <c r="F274" t="s">
        <v>10</v>
      </c>
      <c r="H274" t="s">
        <v>4</v>
      </c>
      <c r="I274">
        <f t="shared" ca="1" si="64"/>
        <v>0.74557814095408859</v>
      </c>
      <c r="K274" t="str">
        <f t="shared" si="61"/>
        <v>Brighton</v>
      </c>
      <c r="L274">
        <f t="shared" ca="1" si="62"/>
        <v>2</v>
      </c>
      <c r="M274" t="str">
        <f t="shared" si="63"/>
        <v>Tottenham Hotspur</v>
      </c>
      <c r="N274">
        <f t="shared" ca="1" si="52"/>
        <v>2</v>
      </c>
      <c r="O274" t="str">
        <f t="shared" ca="1" si="53"/>
        <v>Draw</v>
      </c>
      <c r="P274" t="str">
        <f t="shared" ca="1" si="54"/>
        <v>Draw</v>
      </c>
      <c r="Q274" t="str">
        <f t="shared" ca="1" si="55"/>
        <v>Brighton</v>
      </c>
      <c r="R274" t="str">
        <f t="shared" ca="1" si="56"/>
        <v>Tottenham Hotspur</v>
      </c>
    </row>
    <row r="275" spans="5:18" x14ac:dyDescent="0.3">
      <c r="E275">
        <v>259</v>
      </c>
      <c r="F275" t="s">
        <v>18</v>
      </c>
      <c r="H275" t="s">
        <v>11</v>
      </c>
      <c r="I275">
        <f t="shared" ca="1" si="64"/>
        <v>0.76449557612964769</v>
      </c>
      <c r="K275" t="str">
        <f t="shared" si="61"/>
        <v>Leicester City</v>
      </c>
      <c r="L275">
        <f t="shared" ca="1" si="62"/>
        <v>2</v>
      </c>
      <c r="M275" t="str">
        <f t="shared" si="63"/>
        <v>Crystal Palace</v>
      </c>
      <c r="N275">
        <f t="shared" ca="1" si="52"/>
        <v>1</v>
      </c>
      <c r="O275" t="str">
        <f t="shared" ca="1" si="53"/>
        <v>Leicester City</v>
      </c>
      <c r="P275" t="str">
        <f t="shared" ca="1" si="54"/>
        <v>Crystal Palace</v>
      </c>
      <c r="Q275" t="str">
        <f t="shared" ca="1" si="55"/>
        <v>Not Draw</v>
      </c>
      <c r="R275" t="str">
        <f t="shared" ca="1" si="56"/>
        <v>Not Draw</v>
      </c>
    </row>
    <row r="276" spans="5:18" x14ac:dyDescent="0.3">
      <c r="F276">
        <v>26</v>
      </c>
      <c r="K276">
        <f t="shared" si="61"/>
        <v>26</v>
      </c>
      <c r="L276" t="e">
        <f t="shared" ca="1" si="62"/>
        <v>#N/A</v>
      </c>
      <c r="M276">
        <f t="shared" si="63"/>
        <v>0</v>
      </c>
      <c r="N276" t="e">
        <f t="shared" ca="1" si="52"/>
        <v>#N/A</v>
      </c>
      <c r="O276" t="e">
        <f t="shared" ca="1" si="53"/>
        <v>#N/A</v>
      </c>
      <c r="P276" t="e">
        <f t="shared" ca="1" si="54"/>
        <v>#N/A</v>
      </c>
      <c r="Q276" t="e">
        <f t="shared" ca="1" si="55"/>
        <v>#N/A</v>
      </c>
      <c r="R276" t="e">
        <f t="shared" ca="1" si="56"/>
        <v>#N/A</v>
      </c>
    </row>
    <row r="277" spans="5:18" x14ac:dyDescent="0.3">
      <c r="E277">
        <v>260</v>
      </c>
      <c r="F277" t="s">
        <v>14</v>
      </c>
      <c r="H277" t="s">
        <v>16</v>
      </c>
      <c r="I277">
        <f t="shared" ref="I277:I286" ca="1" si="65">IF(F277="No Team",-1,RAND())</f>
        <v>0.98432522414423462</v>
      </c>
      <c r="K277" t="str">
        <f t="shared" si="61"/>
        <v>Huddersfield</v>
      </c>
      <c r="L277">
        <f t="shared" ca="1" si="62"/>
        <v>2</v>
      </c>
      <c r="M277" t="str">
        <f t="shared" si="63"/>
        <v>West Ham United</v>
      </c>
      <c r="N277">
        <f t="shared" ca="1" si="52"/>
        <v>2</v>
      </c>
      <c r="O277" t="str">
        <f t="shared" ca="1" si="53"/>
        <v>Draw</v>
      </c>
      <c r="P277" t="str">
        <f t="shared" ca="1" si="54"/>
        <v>Draw</v>
      </c>
      <c r="Q277" t="str">
        <f t="shared" ca="1" si="55"/>
        <v>Huddersfield</v>
      </c>
      <c r="R277" t="str">
        <f t="shared" ca="1" si="56"/>
        <v>West Ham United</v>
      </c>
    </row>
    <row r="278" spans="5:18" x14ac:dyDescent="0.3">
      <c r="E278">
        <v>261</v>
      </c>
      <c r="F278" t="s">
        <v>5</v>
      </c>
      <c r="H278" t="s">
        <v>15</v>
      </c>
      <c r="I278">
        <f t="shared" ca="1" si="65"/>
        <v>0.9541585164212979</v>
      </c>
      <c r="K278" t="str">
        <f t="shared" si="61"/>
        <v>Liverpool</v>
      </c>
      <c r="L278">
        <f t="shared" ca="1" si="62"/>
        <v>0</v>
      </c>
      <c r="M278" t="str">
        <f t="shared" si="63"/>
        <v>West Bromwich</v>
      </c>
      <c r="N278">
        <f t="shared" ca="1" si="52"/>
        <v>2</v>
      </c>
      <c r="O278" t="str">
        <f t="shared" ca="1" si="53"/>
        <v>West Bromwich</v>
      </c>
      <c r="P278" t="str">
        <f t="shared" ca="1" si="54"/>
        <v>Liverpool</v>
      </c>
      <c r="Q278" t="str">
        <f t="shared" ca="1" si="55"/>
        <v>Not Draw</v>
      </c>
      <c r="R278" t="str">
        <f t="shared" ca="1" si="56"/>
        <v>Not Draw</v>
      </c>
    </row>
    <row r="279" spans="5:18" x14ac:dyDescent="0.3">
      <c r="E279">
        <v>262</v>
      </c>
      <c r="F279" t="s">
        <v>11</v>
      </c>
      <c r="H279" t="s">
        <v>6</v>
      </c>
      <c r="I279">
        <f t="shared" ca="1" si="65"/>
        <v>0.10803401626025122</v>
      </c>
      <c r="K279" t="str">
        <f t="shared" si="61"/>
        <v>Crystal Palace</v>
      </c>
      <c r="L279">
        <f t="shared" ca="1" si="62"/>
        <v>5</v>
      </c>
      <c r="M279" t="str">
        <f t="shared" si="63"/>
        <v>Everton</v>
      </c>
      <c r="N279">
        <f t="shared" ca="1" si="52"/>
        <v>0</v>
      </c>
      <c r="O279" t="str">
        <f t="shared" ca="1" si="53"/>
        <v>Crystal Palace</v>
      </c>
      <c r="P279" t="str">
        <f t="shared" ca="1" si="54"/>
        <v>Everton</v>
      </c>
      <c r="Q279" t="str">
        <f t="shared" ca="1" si="55"/>
        <v>Not Draw</v>
      </c>
      <c r="R279" t="str">
        <f t="shared" ca="1" si="56"/>
        <v>Not Draw</v>
      </c>
    </row>
    <row r="280" spans="5:18" x14ac:dyDescent="0.3">
      <c r="E280">
        <v>263</v>
      </c>
      <c r="F280" t="s">
        <v>17</v>
      </c>
      <c r="H280" t="s">
        <v>10</v>
      </c>
      <c r="I280">
        <f t="shared" ca="1" si="65"/>
        <v>0.60606548663120974</v>
      </c>
      <c r="K280" t="str">
        <f t="shared" si="61"/>
        <v>Stoke City</v>
      </c>
      <c r="L280">
        <f t="shared" ca="1" si="62"/>
        <v>1</v>
      </c>
      <c r="M280" t="str">
        <f t="shared" si="63"/>
        <v>Brighton</v>
      </c>
      <c r="N280">
        <f t="shared" ca="1" si="52"/>
        <v>1</v>
      </c>
      <c r="O280" t="str">
        <f t="shared" ca="1" si="53"/>
        <v>Draw</v>
      </c>
      <c r="P280" t="str">
        <f t="shared" ca="1" si="54"/>
        <v>Draw</v>
      </c>
      <c r="Q280" t="str">
        <f t="shared" ca="1" si="55"/>
        <v>Stoke City</v>
      </c>
      <c r="R280" t="str">
        <f t="shared" ca="1" si="56"/>
        <v>Brighton</v>
      </c>
    </row>
    <row r="281" spans="5:18" x14ac:dyDescent="0.3">
      <c r="E281">
        <v>264</v>
      </c>
      <c r="F281" t="s">
        <v>12</v>
      </c>
      <c r="H281" t="s">
        <v>13</v>
      </c>
      <c r="I281">
        <f t="shared" ca="1" si="65"/>
        <v>0.43027216526621881</v>
      </c>
      <c r="K281" t="str">
        <f t="shared" si="61"/>
        <v>Southampton</v>
      </c>
      <c r="L281">
        <f t="shared" ca="1" si="62"/>
        <v>0</v>
      </c>
      <c r="M281" t="str">
        <f t="shared" si="63"/>
        <v>Swansea City</v>
      </c>
      <c r="N281">
        <f t="shared" ca="1" si="52"/>
        <v>2</v>
      </c>
      <c r="O281" t="str">
        <f t="shared" ca="1" si="53"/>
        <v>Swansea City</v>
      </c>
      <c r="P281" t="str">
        <f t="shared" ca="1" si="54"/>
        <v>Southampton</v>
      </c>
      <c r="Q281" t="str">
        <f t="shared" ca="1" si="55"/>
        <v>Not Draw</v>
      </c>
      <c r="R281" t="str">
        <f t="shared" ca="1" si="56"/>
        <v>Not Draw</v>
      </c>
    </row>
    <row r="282" spans="5:18" x14ac:dyDescent="0.3">
      <c r="E282">
        <v>265</v>
      </c>
      <c r="F282" t="s">
        <v>4</v>
      </c>
      <c r="H282" t="s">
        <v>0</v>
      </c>
      <c r="I282">
        <f t="shared" ca="1" si="65"/>
        <v>0.53653710849092784</v>
      </c>
      <c r="K282" t="str">
        <f t="shared" si="61"/>
        <v>Tottenham Hotspur</v>
      </c>
      <c r="L282">
        <f t="shared" ca="1" si="62"/>
        <v>3</v>
      </c>
      <c r="M282" t="str">
        <f t="shared" si="63"/>
        <v>Manchester City</v>
      </c>
      <c r="N282">
        <f t="shared" ca="1" si="52"/>
        <v>4</v>
      </c>
      <c r="O282" t="str">
        <f t="shared" ca="1" si="53"/>
        <v>Manchester City</v>
      </c>
      <c r="P282" t="str">
        <f t="shared" ca="1" si="54"/>
        <v>Tottenham Hotspur</v>
      </c>
      <c r="Q282" t="str">
        <f t="shared" ca="1" si="55"/>
        <v>Not Draw</v>
      </c>
      <c r="R282" t="str">
        <f t="shared" ca="1" si="56"/>
        <v>Not Draw</v>
      </c>
    </row>
    <row r="283" spans="5:18" x14ac:dyDescent="0.3">
      <c r="E283">
        <v>266</v>
      </c>
      <c r="F283" t="s">
        <v>1</v>
      </c>
      <c r="H283" t="s">
        <v>7</v>
      </c>
      <c r="I283">
        <f t="shared" ca="1" si="65"/>
        <v>0.75092862605926902</v>
      </c>
      <c r="K283" t="str">
        <f t="shared" si="61"/>
        <v>Manchester United</v>
      </c>
      <c r="L283">
        <f t="shared" ca="1" si="62"/>
        <v>2</v>
      </c>
      <c r="M283" t="str">
        <f t="shared" si="63"/>
        <v>Burnley</v>
      </c>
      <c r="N283">
        <f t="shared" ca="1" si="52"/>
        <v>2</v>
      </c>
      <c r="O283" t="str">
        <f t="shared" ca="1" si="53"/>
        <v>Draw</v>
      </c>
      <c r="P283" t="str">
        <f t="shared" ca="1" si="54"/>
        <v>Draw</v>
      </c>
      <c r="Q283" t="str">
        <f t="shared" ca="1" si="55"/>
        <v>Manchester United</v>
      </c>
      <c r="R283" t="str">
        <f t="shared" ca="1" si="56"/>
        <v>Burnley</v>
      </c>
    </row>
    <row r="284" spans="5:18" x14ac:dyDescent="0.3">
      <c r="E284">
        <v>267</v>
      </c>
      <c r="F284" t="s">
        <v>9</v>
      </c>
      <c r="H284" t="s">
        <v>18</v>
      </c>
      <c r="I284">
        <f t="shared" ca="1" si="65"/>
        <v>0.68488526441388309</v>
      </c>
      <c r="K284" t="str">
        <f t="shared" si="61"/>
        <v>Bournemouth</v>
      </c>
      <c r="L284">
        <f t="shared" ca="1" si="62"/>
        <v>1</v>
      </c>
      <c r="M284" t="str">
        <f t="shared" si="63"/>
        <v>Leicester City</v>
      </c>
      <c r="N284">
        <f t="shared" ca="1" si="52"/>
        <v>3</v>
      </c>
      <c r="O284" t="str">
        <f t="shared" ca="1" si="53"/>
        <v>Leicester City</v>
      </c>
      <c r="P284" t="str">
        <f t="shared" ca="1" si="54"/>
        <v>Bournemouth</v>
      </c>
      <c r="Q284" t="str">
        <f t="shared" ca="1" si="55"/>
        <v>Not Draw</v>
      </c>
      <c r="R284" t="str">
        <f t="shared" ca="1" si="56"/>
        <v>Not Draw</v>
      </c>
    </row>
    <row r="285" spans="5:18" x14ac:dyDescent="0.3">
      <c r="E285">
        <v>268</v>
      </c>
      <c r="F285" t="s">
        <v>8</v>
      </c>
      <c r="H285" t="s">
        <v>3</v>
      </c>
      <c r="I285">
        <f t="shared" ca="1" si="65"/>
        <v>0.227636979974704</v>
      </c>
      <c r="K285" t="str">
        <f t="shared" si="61"/>
        <v>Watford</v>
      </c>
      <c r="L285">
        <f t="shared" ca="1" si="62"/>
        <v>3</v>
      </c>
      <c r="M285" t="str">
        <f t="shared" si="63"/>
        <v>Arsenal</v>
      </c>
      <c r="N285">
        <f t="shared" ref="N285:N348" ca="1" si="66">MAX(0,(VLOOKUP(RAND(),$S$2:$T$9,2,1)+(IF(RAND()+((VLOOKUP(M285,$B$23:$C$42,2,1)-VLOOKUP(K285,$B$23:$C$42,2,1))/2)&gt;0.95,1,0)+(IF(RAND()+((VLOOKUP(M285,$B$23:$C$42,2,1)-VLOOKUP(K285,$B$23:$C$42,2,1))/2)&lt;0,-1,0)))))</f>
        <v>2</v>
      </c>
      <c r="O285" t="str">
        <f t="shared" ref="O285:O348" ca="1" si="67">IF(L285=N285,"Draw",IF(L285&gt;N285,K285,M285))</f>
        <v>Watford</v>
      </c>
      <c r="P285" t="str">
        <f t="shared" ref="P285:P348" ca="1" si="68">IF(O285="Draw","Draw",IF(O285=K285,M285,K285))</f>
        <v>Arsenal</v>
      </c>
      <c r="Q285" t="str">
        <f t="shared" ref="Q285:Q348" ca="1" si="69">IF(L285=N285,K285,"Not Draw")</f>
        <v>Not Draw</v>
      </c>
      <c r="R285" t="str">
        <f t="shared" ref="R285:R348" ca="1" si="70">IF(L285=N285,M285,"Not Draw")</f>
        <v>Not Draw</v>
      </c>
    </row>
    <row r="286" spans="5:18" x14ac:dyDescent="0.3">
      <c r="E286">
        <v>269</v>
      </c>
      <c r="F286" t="s">
        <v>23</v>
      </c>
      <c r="H286" t="s">
        <v>2</v>
      </c>
      <c r="I286">
        <f t="shared" ca="1" si="65"/>
        <v>0.7245895228823549</v>
      </c>
      <c r="K286" t="str">
        <f t="shared" si="61"/>
        <v>Newcastle</v>
      </c>
      <c r="L286">
        <f t="shared" ca="1" si="62"/>
        <v>2</v>
      </c>
      <c r="M286" t="str">
        <f t="shared" si="63"/>
        <v>Chelsea</v>
      </c>
      <c r="N286">
        <f t="shared" ca="1" si="66"/>
        <v>0</v>
      </c>
      <c r="O286" t="str">
        <f t="shared" ca="1" si="67"/>
        <v>Newcastle</v>
      </c>
      <c r="P286" t="str">
        <f t="shared" ca="1" si="68"/>
        <v>Chelsea</v>
      </c>
      <c r="Q286" t="str">
        <f t="shared" ca="1" si="69"/>
        <v>Not Draw</v>
      </c>
      <c r="R286" t="str">
        <f t="shared" ca="1" si="70"/>
        <v>Not Draw</v>
      </c>
    </row>
    <row r="287" spans="5:18" x14ac:dyDescent="0.3">
      <c r="F287">
        <v>27</v>
      </c>
      <c r="K287">
        <f t="shared" si="61"/>
        <v>27</v>
      </c>
      <c r="L287" t="e">
        <f t="shared" ca="1" si="62"/>
        <v>#N/A</v>
      </c>
      <c r="M287">
        <f t="shared" si="63"/>
        <v>0</v>
      </c>
      <c r="N287" t="e">
        <f t="shared" ca="1" si="66"/>
        <v>#N/A</v>
      </c>
      <c r="O287" t="e">
        <f t="shared" ca="1" si="67"/>
        <v>#N/A</v>
      </c>
      <c r="P287" t="e">
        <f t="shared" ca="1" si="68"/>
        <v>#N/A</v>
      </c>
      <c r="Q287" t="e">
        <f t="shared" ca="1" si="69"/>
        <v>#N/A</v>
      </c>
      <c r="R287" t="e">
        <f t="shared" ca="1" si="70"/>
        <v>#N/A</v>
      </c>
    </row>
    <row r="288" spans="5:18" x14ac:dyDescent="0.3">
      <c r="E288">
        <v>270</v>
      </c>
      <c r="F288" t="s">
        <v>3</v>
      </c>
      <c r="H288" t="s">
        <v>14</v>
      </c>
      <c r="I288">
        <f t="shared" ref="I288:I297" ca="1" si="71">IF(F288="No Team",-1,RAND())</f>
        <v>0.85269684521816058</v>
      </c>
      <c r="K288" t="str">
        <f t="shared" si="61"/>
        <v>Arsenal</v>
      </c>
      <c r="L288">
        <f t="shared" ca="1" si="62"/>
        <v>4</v>
      </c>
      <c r="M288" t="str">
        <f t="shared" si="63"/>
        <v>Huddersfield</v>
      </c>
      <c r="N288">
        <f t="shared" ca="1" si="66"/>
        <v>1</v>
      </c>
      <c r="O288" t="str">
        <f t="shared" ca="1" si="67"/>
        <v>Arsenal</v>
      </c>
      <c r="P288" t="str">
        <f t="shared" ca="1" si="68"/>
        <v>Huddersfield</v>
      </c>
      <c r="Q288" t="str">
        <f t="shared" ca="1" si="69"/>
        <v>Not Draw</v>
      </c>
      <c r="R288" t="str">
        <f t="shared" ca="1" si="70"/>
        <v>Not Draw</v>
      </c>
    </row>
    <row r="289" spans="5:18" x14ac:dyDescent="0.3">
      <c r="E289">
        <v>271</v>
      </c>
      <c r="F289" t="s">
        <v>0</v>
      </c>
      <c r="H289" t="s">
        <v>17</v>
      </c>
      <c r="I289">
        <f t="shared" ca="1" si="71"/>
        <v>0.35559469834277768</v>
      </c>
      <c r="K289" t="str">
        <f t="shared" si="61"/>
        <v>Manchester City</v>
      </c>
      <c r="L289">
        <f t="shared" ca="1" si="62"/>
        <v>2</v>
      </c>
      <c r="M289" t="str">
        <f t="shared" si="63"/>
        <v>Stoke City</v>
      </c>
      <c r="N289">
        <f t="shared" ca="1" si="66"/>
        <v>1</v>
      </c>
      <c r="O289" t="str">
        <f t="shared" ca="1" si="67"/>
        <v>Manchester City</v>
      </c>
      <c r="P289" t="str">
        <f t="shared" ca="1" si="68"/>
        <v>Stoke City</v>
      </c>
      <c r="Q289" t="str">
        <f t="shared" ca="1" si="69"/>
        <v>Not Draw</v>
      </c>
      <c r="R289" t="str">
        <f t="shared" ca="1" si="70"/>
        <v>Not Draw</v>
      </c>
    </row>
    <row r="290" spans="5:18" x14ac:dyDescent="0.3">
      <c r="E290">
        <v>272</v>
      </c>
      <c r="F290" t="s">
        <v>7</v>
      </c>
      <c r="H290" t="s">
        <v>4</v>
      </c>
      <c r="I290">
        <f t="shared" ca="1" si="71"/>
        <v>0.75954327973049884</v>
      </c>
      <c r="K290" t="str">
        <f t="shared" si="61"/>
        <v>Burnley</v>
      </c>
      <c r="L290">
        <f t="shared" ca="1" si="62"/>
        <v>0</v>
      </c>
      <c r="M290" t="str">
        <f t="shared" si="63"/>
        <v>Tottenham Hotspur</v>
      </c>
      <c r="N290">
        <f t="shared" ca="1" si="66"/>
        <v>2</v>
      </c>
      <c r="O290" t="str">
        <f t="shared" ca="1" si="67"/>
        <v>Tottenham Hotspur</v>
      </c>
      <c r="P290" t="str">
        <f t="shared" ca="1" si="68"/>
        <v>Burnley</v>
      </c>
      <c r="Q290" t="str">
        <f t="shared" ca="1" si="69"/>
        <v>Not Draw</v>
      </c>
      <c r="R290" t="str">
        <f t="shared" ca="1" si="70"/>
        <v>Not Draw</v>
      </c>
    </row>
    <row r="291" spans="5:18" x14ac:dyDescent="0.3">
      <c r="E291">
        <v>273</v>
      </c>
      <c r="F291" t="s">
        <v>15</v>
      </c>
      <c r="H291" t="s">
        <v>8</v>
      </c>
      <c r="I291">
        <f t="shared" ca="1" si="71"/>
        <v>0.12385819122689734</v>
      </c>
      <c r="K291" t="str">
        <f t="shared" si="61"/>
        <v>West Bromwich</v>
      </c>
      <c r="L291">
        <f t="shared" ca="1" si="62"/>
        <v>1</v>
      </c>
      <c r="M291" t="str">
        <f t="shared" si="63"/>
        <v>Watford</v>
      </c>
      <c r="N291">
        <f t="shared" ca="1" si="66"/>
        <v>0</v>
      </c>
      <c r="O291" t="str">
        <f t="shared" ca="1" si="67"/>
        <v>West Bromwich</v>
      </c>
      <c r="P291" t="str">
        <f t="shared" ca="1" si="68"/>
        <v>Watford</v>
      </c>
      <c r="Q291" t="str">
        <f t="shared" ca="1" si="69"/>
        <v>Not Draw</v>
      </c>
      <c r="R291" t="str">
        <f t="shared" ca="1" si="70"/>
        <v>Not Draw</v>
      </c>
    </row>
    <row r="292" spans="5:18" x14ac:dyDescent="0.3">
      <c r="E292">
        <v>274</v>
      </c>
      <c r="F292" t="s">
        <v>6</v>
      </c>
      <c r="H292" t="s">
        <v>9</v>
      </c>
      <c r="I292">
        <f t="shared" ca="1" si="71"/>
        <v>0.98468403453281783</v>
      </c>
      <c r="K292" t="str">
        <f t="shared" si="61"/>
        <v>Everton</v>
      </c>
      <c r="L292">
        <f t="shared" ca="1" si="62"/>
        <v>1</v>
      </c>
      <c r="M292" t="str">
        <f t="shared" si="63"/>
        <v>Bournemouth</v>
      </c>
      <c r="N292">
        <f t="shared" ca="1" si="66"/>
        <v>0</v>
      </c>
      <c r="O292" t="str">
        <f t="shared" ca="1" si="67"/>
        <v>Everton</v>
      </c>
      <c r="P292" t="str">
        <f t="shared" ca="1" si="68"/>
        <v>Bournemouth</v>
      </c>
      <c r="Q292" t="str">
        <f t="shared" ca="1" si="69"/>
        <v>Not Draw</v>
      </c>
      <c r="R292" t="str">
        <f t="shared" ca="1" si="70"/>
        <v>Not Draw</v>
      </c>
    </row>
    <row r="293" spans="5:18" x14ac:dyDescent="0.3">
      <c r="E293">
        <v>275</v>
      </c>
      <c r="F293" t="s">
        <v>18</v>
      </c>
      <c r="H293" t="s">
        <v>5</v>
      </c>
      <c r="I293">
        <f t="shared" ca="1" si="71"/>
        <v>0.67498751951901781</v>
      </c>
      <c r="K293" t="str">
        <f t="shared" si="61"/>
        <v>Leicester City</v>
      </c>
      <c r="L293">
        <f t="shared" ca="1" si="62"/>
        <v>2</v>
      </c>
      <c r="M293" t="str">
        <f t="shared" si="63"/>
        <v>Liverpool</v>
      </c>
      <c r="N293">
        <f t="shared" ca="1" si="66"/>
        <v>0</v>
      </c>
      <c r="O293" t="str">
        <f t="shared" ca="1" si="67"/>
        <v>Leicester City</v>
      </c>
      <c r="P293" t="str">
        <f t="shared" ca="1" si="68"/>
        <v>Liverpool</v>
      </c>
      <c r="Q293" t="str">
        <f t="shared" ca="1" si="69"/>
        <v>Not Draw</v>
      </c>
      <c r="R293" t="str">
        <f t="shared" ca="1" si="70"/>
        <v>Not Draw</v>
      </c>
    </row>
    <row r="294" spans="5:18" x14ac:dyDescent="0.3">
      <c r="E294">
        <v>276</v>
      </c>
      <c r="F294" t="s">
        <v>16</v>
      </c>
      <c r="H294" t="s">
        <v>1</v>
      </c>
      <c r="I294">
        <f t="shared" ca="1" si="71"/>
        <v>0.7280604390828268</v>
      </c>
      <c r="K294" t="str">
        <f t="shared" si="61"/>
        <v>West Ham United</v>
      </c>
      <c r="L294">
        <f t="shared" ca="1" si="62"/>
        <v>1</v>
      </c>
      <c r="M294" t="str">
        <f t="shared" si="63"/>
        <v>Manchester United</v>
      </c>
      <c r="N294">
        <f t="shared" ca="1" si="66"/>
        <v>1</v>
      </c>
      <c r="O294" t="str">
        <f t="shared" ca="1" si="67"/>
        <v>Draw</v>
      </c>
      <c r="P294" t="str">
        <f t="shared" ca="1" si="68"/>
        <v>Draw</v>
      </c>
      <c r="Q294" t="str">
        <f t="shared" ca="1" si="69"/>
        <v>West Ham United</v>
      </c>
      <c r="R294" t="str">
        <f t="shared" ca="1" si="70"/>
        <v>Manchester United</v>
      </c>
    </row>
    <row r="295" spans="5:18" x14ac:dyDescent="0.3">
      <c r="E295">
        <v>277</v>
      </c>
      <c r="F295" t="s">
        <v>2</v>
      </c>
      <c r="H295" t="s">
        <v>11</v>
      </c>
      <c r="I295">
        <f t="shared" ca="1" si="71"/>
        <v>0.79747118694583519</v>
      </c>
      <c r="K295" t="str">
        <f t="shared" si="61"/>
        <v>Chelsea</v>
      </c>
      <c r="L295">
        <f t="shared" ca="1" si="62"/>
        <v>0</v>
      </c>
      <c r="M295" t="str">
        <f t="shared" si="63"/>
        <v>Crystal Palace</v>
      </c>
      <c r="N295">
        <f t="shared" ca="1" si="66"/>
        <v>2</v>
      </c>
      <c r="O295" t="str">
        <f t="shared" ca="1" si="67"/>
        <v>Crystal Palace</v>
      </c>
      <c r="P295" t="str">
        <f t="shared" ca="1" si="68"/>
        <v>Chelsea</v>
      </c>
      <c r="Q295" t="str">
        <f t="shared" ca="1" si="69"/>
        <v>Not Draw</v>
      </c>
      <c r="R295" t="str">
        <f t="shared" ca="1" si="70"/>
        <v>Not Draw</v>
      </c>
    </row>
    <row r="296" spans="5:18" x14ac:dyDescent="0.3">
      <c r="E296">
        <v>278</v>
      </c>
      <c r="F296" t="s">
        <v>13</v>
      </c>
      <c r="H296" t="s">
        <v>23</v>
      </c>
      <c r="I296">
        <f t="shared" ca="1" si="71"/>
        <v>0.23289717628803386</v>
      </c>
      <c r="K296" t="str">
        <f t="shared" si="61"/>
        <v>Swansea City</v>
      </c>
      <c r="L296">
        <f t="shared" ca="1" si="62"/>
        <v>2</v>
      </c>
      <c r="M296" t="str">
        <f t="shared" si="63"/>
        <v>Newcastle</v>
      </c>
      <c r="N296">
        <f t="shared" ca="1" si="66"/>
        <v>0</v>
      </c>
      <c r="O296" t="str">
        <f t="shared" ca="1" si="67"/>
        <v>Swansea City</v>
      </c>
      <c r="P296" t="str">
        <f t="shared" ca="1" si="68"/>
        <v>Newcastle</v>
      </c>
      <c r="Q296" t="str">
        <f t="shared" ca="1" si="69"/>
        <v>Not Draw</v>
      </c>
      <c r="R296" t="str">
        <f t="shared" ca="1" si="70"/>
        <v>Not Draw</v>
      </c>
    </row>
    <row r="297" spans="5:18" x14ac:dyDescent="0.3">
      <c r="E297">
        <v>279</v>
      </c>
      <c r="F297" t="s">
        <v>10</v>
      </c>
      <c r="H297" t="s">
        <v>12</v>
      </c>
      <c r="I297">
        <f t="shared" ca="1" si="71"/>
        <v>0.36583784302773115</v>
      </c>
      <c r="K297" t="str">
        <f t="shared" si="61"/>
        <v>Brighton</v>
      </c>
      <c r="L297">
        <f t="shared" ca="1" si="62"/>
        <v>2</v>
      </c>
      <c r="M297" t="str">
        <f t="shared" si="63"/>
        <v>Southampton</v>
      </c>
      <c r="N297">
        <f t="shared" ca="1" si="66"/>
        <v>0</v>
      </c>
      <c r="O297" t="str">
        <f t="shared" ca="1" si="67"/>
        <v>Brighton</v>
      </c>
      <c r="P297" t="str">
        <f t="shared" ca="1" si="68"/>
        <v>Southampton</v>
      </c>
      <c r="Q297" t="str">
        <f t="shared" ca="1" si="69"/>
        <v>Not Draw</v>
      </c>
      <c r="R297" t="str">
        <f t="shared" ca="1" si="70"/>
        <v>Not Draw</v>
      </c>
    </row>
    <row r="298" spans="5:18" x14ac:dyDescent="0.3">
      <c r="F298">
        <v>28</v>
      </c>
      <c r="K298">
        <f t="shared" si="61"/>
        <v>28</v>
      </c>
      <c r="L298" t="e">
        <f t="shared" ca="1" si="62"/>
        <v>#N/A</v>
      </c>
      <c r="M298">
        <f t="shared" si="63"/>
        <v>0</v>
      </c>
      <c r="N298" t="e">
        <f t="shared" ca="1" si="66"/>
        <v>#N/A</v>
      </c>
      <c r="O298" t="e">
        <f t="shared" ca="1" si="67"/>
        <v>#N/A</v>
      </c>
      <c r="P298" t="e">
        <f t="shared" ca="1" si="68"/>
        <v>#N/A</v>
      </c>
      <c r="Q298" t="e">
        <f t="shared" ca="1" si="69"/>
        <v>#N/A</v>
      </c>
      <c r="R298" t="e">
        <f t="shared" ca="1" si="70"/>
        <v>#N/A</v>
      </c>
    </row>
    <row r="299" spans="5:18" x14ac:dyDescent="0.3">
      <c r="E299">
        <v>280</v>
      </c>
      <c r="F299" t="s">
        <v>11</v>
      </c>
      <c r="H299" t="s">
        <v>13</v>
      </c>
      <c r="I299">
        <f t="shared" ref="I299:I308" ca="1" si="72">IF(F299="No Team",-1,RAND())</f>
        <v>8.454924102163186E-2</v>
      </c>
      <c r="K299" t="str">
        <f t="shared" si="61"/>
        <v>Crystal Palace</v>
      </c>
      <c r="L299">
        <f t="shared" ca="1" si="62"/>
        <v>1</v>
      </c>
      <c r="M299" t="str">
        <f t="shared" si="63"/>
        <v>Swansea City</v>
      </c>
      <c r="N299">
        <f t="shared" ca="1" si="66"/>
        <v>0</v>
      </c>
      <c r="O299" t="str">
        <f t="shared" ca="1" si="67"/>
        <v>Crystal Palace</v>
      </c>
      <c r="P299" t="str">
        <f t="shared" ca="1" si="68"/>
        <v>Swansea City</v>
      </c>
      <c r="Q299" t="str">
        <f t="shared" ca="1" si="69"/>
        <v>Not Draw</v>
      </c>
      <c r="R299" t="str">
        <f t="shared" ca="1" si="70"/>
        <v>Not Draw</v>
      </c>
    </row>
    <row r="300" spans="5:18" x14ac:dyDescent="0.3">
      <c r="E300">
        <v>281</v>
      </c>
      <c r="F300" t="s">
        <v>23</v>
      </c>
      <c r="H300" t="s">
        <v>10</v>
      </c>
      <c r="I300">
        <f t="shared" ca="1" si="72"/>
        <v>0.38923512740633959</v>
      </c>
      <c r="K300" t="str">
        <f t="shared" si="61"/>
        <v>Newcastle</v>
      </c>
      <c r="L300">
        <f t="shared" ca="1" si="62"/>
        <v>0</v>
      </c>
      <c r="M300" t="str">
        <f t="shared" si="63"/>
        <v>Brighton</v>
      </c>
      <c r="N300">
        <f t="shared" ca="1" si="66"/>
        <v>0</v>
      </c>
      <c r="O300" t="str">
        <f t="shared" ca="1" si="67"/>
        <v>Draw</v>
      </c>
      <c r="P300" t="str">
        <f t="shared" ca="1" si="68"/>
        <v>Draw</v>
      </c>
      <c r="Q300" t="str">
        <f t="shared" ca="1" si="69"/>
        <v>Newcastle</v>
      </c>
      <c r="R300" t="str">
        <f t="shared" ca="1" si="70"/>
        <v>Brighton</v>
      </c>
    </row>
    <row r="301" spans="5:18" x14ac:dyDescent="0.3">
      <c r="E301">
        <v>282</v>
      </c>
      <c r="F301" t="s">
        <v>4</v>
      </c>
      <c r="H301" t="s">
        <v>16</v>
      </c>
      <c r="I301">
        <f t="shared" ca="1" si="72"/>
        <v>0.67395395917532952</v>
      </c>
      <c r="K301" t="str">
        <f t="shared" si="61"/>
        <v>Tottenham Hotspur</v>
      </c>
      <c r="L301">
        <f t="shared" ca="1" si="62"/>
        <v>2</v>
      </c>
      <c r="M301" t="str">
        <f t="shared" si="63"/>
        <v>West Ham United</v>
      </c>
      <c r="N301">
        <f t="shared" ca="1" si="66"/>
        <v>1</v>
      </c>
      <c r="O301" t="str">
        <f t="shared" ca="1" si="67"/>
        <v>Tottenham Hotspur</v>
      </c>
      <c r="P301" t="str">
        <f t="shared" ca="1" si="68"/>
        <v>West Ham United</v>
      </c>
      <c r="Q301" t="str">
        <f t="shared" ca="1" si="69"/>
        <v>Not Draw</v>
      </c>
      <c r="R301" t="str">
        <f t="shared" ca="1" si="70"/>
        <v>Not Draw</v>
      </c>
    </row>
    <row r="302" spans="5:18" x14ac:dyDescent="0.3">
      <c r="E302">
        <v>283</v>
      </c>
      <c r="F302" t="s">
        <v>1</v>
      </c>
      <c r="H302" t="s">
        <v>3</v>
      </c>
      <c r="I302">
        <f t="shared" ca="1" si="72"/>
        <v>0.33148860776932121</v>
      </c>
      <c r="K302" t="str">
        <f t="shared" si="61"/>
        <v>Manchester United</v>
      </c>
      <c r="L302">
        <f t="shared" ca="1" si="62"/>
        <v>2</v>
      </c>
      <c r="M302" t="str">
        <f t="shared" si="63"/>
        <v>Arsenal</v>
      </c>
      <c r="N302">
        <f t="shared" ca="1" si="66"/>
        <v>1</v>
      </c>
      <c r="O302" t="str">
        <f t="shared" ca="1" si="67"/>
        <v>Manchester United</v>
      </c>
      <c r="P302" t="str">
        <f t="shared" ca="1" si="68"/>
        <v>Arsenal</v>
      </c>
      <c r="Q302" t="str">
        <f t="shared" ca="1" si="69"/>
        <v>Not Draw</v>
      </c>
      <c r="R302" t="str">
        <f t="shared" ca="1" si="70"/>
        <v>Not Draw</v>
      </c>
    </row>
    <row r="303" spans="5:18" x14ac:dyDescent="0.3">
      <c r="E303">
        <v>284</v>
      </c>
      <c r="F303" t="s">
        <v>8</v>
      </c>
      <c r="H303" t="s">
        <v>18</v>
      </c>
      <c r="I303">
        <f t="shared" ca="1" si="72"/>
        <v>8.4257682943598811E-2</v>
      </c>
      <c r="K303" t="str">
        <f t="shared" si="61"/>
        <v>Watford</v>
      </c>
      <c r="L303">
        <f t="shared" ca="1" si="62"/>
        <v>2</v>
      </c>
      <c r="M303" t="str">
        <f t="shared" si="63"/>
        <v>Leicester City</v>
      </c>
      <c r="N303">
        <f t="shared" ca="1" si="66"/>
        <v>0</v>
      </c>
      <c r="O303" t="str">
        <f t="shared" ca="1" si="67"/>
        <v>Watford</v>
      </c>
      <c r="P303" t="str">
        <f t="shared" ca="1" si="68"/>
        <v>Leicester City</v>
      </c>
      <c r="Q303" t="str">
        <f t="shared" ca="1" si="69"/>
        <v>Not Draw</v>
      </c>
      <c r="R303" t="str">
        <f t="shared" ca="1" si="70"/>
        <v>Not Draw</v>
      </c>
    </row>
    <row r="304" spans="5:18" x14ac:dyDescent="0.3">
      <c r="E304">
        <v>285</v>
      </c>
      <c r="F304" t="s">
        <v>5</v>
      </c>
      <c r="H304" t="s">
        <v>6</v>
      </c>
      <c r="I304">
        <f t="shared" ca="1" si="72"/>
        <v>0.60193222595941365</v>
      </c>
      <c r="K304" t="str">
        <f t="shared" si="61"/>
        <v>Liverpool</v>
      </c>
      <c r="L304">
        <f t="shared" ca="1" si="62"/>
        <v>2</v>
      </c>
      <c r="M304" t="str">
        <f t="shared" si="63"/>
        <v>Everton</v>
      </c>
      <c r="N304">
        <f t="shared" ca="1" si="66"/>
        <v>2</v>
      </c>
      <c r="O304" t="str">
        <f t="shared" ca="1" si="67"/>
        <v>Draw</v>
      </c>
      <c r="P304" t="str">
        <f t="shared" ca="1" si="68"/>
        <v>Draw</v>
      </c>
      <c r="Q304" t="str">
        <f t="shared" ca="1" si="69"/>
        <v>Liverpool</v>
      </c>
      <c r="R304" t="str">
        <f t="shared" ca="1" si="70"/>
        <v>Everton</v>
      </c>
    </row>
    <row r="305" spans="5:18" x14ac:dyDescent="0.3">
      <c r="E305">
        <v>286</v>
      </c>
      <c r="F305" t="s">
        <v>12</v>
      </c>
      <c r="H305" t="s">
        <v>0</v>
      </c>
      <c r="I305">
        <f t="shared" ca="1" si="72"/>
        <v>0.80759667184148121</v>
      </c>
      <c r="K305" t="str">
        <f t="shared" si="61"/>
        <v>Southampton</v>
      </c>
      <c r="L305">
        <f t="shared" ca="1" si="62"/>
        <v>0</v>
      </c>
      <c r="M305" t="str">
        <f t="shared" si="63"/>
        <v>Manchester City</v>
      </c>
      <c r="N305">
        <f t="shared" ca="1" si="66"/>
        <v>1</v>
      </c>
      <c r="O305" t="str">
        <f t="shared" ca="1" si="67"/>
        <v>Manchester City</v>
      </c>
      <c r="P305" t="str">
        <f t="shared" ca="1" si="68"/>
        <v>Southampton</v>
      </c>
      <c r="Q305" t="str">
        <f t="shared" ca="1" si="69"/>
        <v>Not Draw</v>
      </c>
      <c r="R305" t="str">
        <f t="shared" ca="1" si="70"/>
        <v>Not Draw</v>
      </c>
    </row>
    <row r="306" spans="5:18" x14ac:dyDescent="0.3">
      <c r="E306">
        <v>287</v>
      </c>
      <c r="F306" t="s">
        <v>17</v>
      </c>
      <c r="H306" t="s">
        <v>7</v>
      </c>
      <c r="I306">
        <f t="shared" ca="1" si="72"/>
        <v>0.74098292368222507</v>
      </c>
      <c r="K306" t="str">
        <f t="shared" si="61"/>
        <v>Stoke City</v>
      </c>
      <c r="L306">
        <f t="shared" ca="1" si="62"/>
        <v>1</v>
      </c>
      <c r="M306" t="str">
        <f t="shared" si="63"/>
        <v>Burnley</v>
      </c>
      <c r="N306">
        <f t="shared" ca="1" si="66"/>
        <v>3</v>
      </c>
      <c r="O306" t="str">
        <f t="shared" ca="1" si="67"/>
        <v>Burnley</v>
      </c>
      <c r="P306" t="str">
        <f t="shared" ca="1" si="68"/>
        <v>Stoke City</v>
      </c>
      <c r="Q306" t="str">
        <f t="shared" ca="1" si="69"/>
        <v>Not Draw</v>
      </c>
      <c r="R306" t="str">
        <f t="shared" ca="1" si="70"/>
        <v>Not Draw</v>
      </c>
    </row>
    <row r="307" spans="5:18" x14ac:dyDescent="0.3">
      <c r="E307">
        <v>288</v>
      </c>
      <c r="F307" t="s">
        <v>9</v>
      </c>
      <c r="H307" t="s">
        <v>2</v>
      </c>
      <c r="I307">
        <f t="shared" ca="1" si="72"/>
        <v>0.57612114799591652</v>
      </c>
      <c r="K307" t="str">
        <f t="shared" si="61"/>
        <v>Bournemouth</v>
      </c>
      <c r="L307">
        <f t="shared" ca="1" si="62"/>
        <v>0</v>
      </c>
      <c r="M307" t="str">
        <f t="shared" si="63"/>
        <v>Chelsea</v>
      </c>
      <c r="N307">
        <f t="shared" ca="1" si="66"/>
        <v>2</v>
      </c>
      <c r="O307" t="str">
        <f t="shared" ca="1" si="67"/>
        <v>Chelsea</v>
      </c>
      <c r="P307" t="str">
        <f t="shared" ca="1" si="68"/>
        <v>Bournemouth</v>
      </c>
      <c r="Q307" t="str">
        <f t="shared" ca="1" si="69"/>
        <v>Not Draw</v>
      </c>
      <c r="R307" t="str">
        <f t="shared" ca="1" si="70"/>
        <v>Not Draw</v>
      </c>
    </row>
    <row r="308" spans="5:18" x14ac:dyDescent="0.3">
      <c r="E308">
        <v>289</v>
      </c>
      <c r="F308" t="s">
        <v>14</v>
      </c>
      <c r="H308" t="s">
        <v>15</v>
      </c>
      <c r="I308">
        <f t="shared" ca="1" si="72"/>
        <v>0.71902049449160044</v>
      </c>
      <c r="K308" t="str">
        <f t="shared" si="61"/>
        <v>Huddersfield</v>
      </c>
      <c r="L308">
        <f t="shared" ca="1" si="62"/>
        <v>3</v>
      </c>
      <c r="M308" t="str">
        <f t="shared" si="63"/>
        <v>West Bromwich</v>
      </c>
      <c r="N308">
        <f t="shared" ca="1" si="66"/>
        <v>0</v>
      </c>
      <c r="O308" t="str">
        <f t="shared" ca="1" si="67"/>
        <v>Huddersfield</v>
      </c>
      <c r="P308" t="str">
        <f t="shared" ca="1" si="68"/>
        <v>West Bromwich</v>
      </c>
      <c r="Q308" t="str">
        <f t="shared" ca="1" si="69"/>
        <v>Not Draw</v>
      </c>
      <c r="R308" t="str">
        <f t="shared" ca="1" si="70"/>
        <v>Not Draw</v>
      </c>
    </row>
    <row r="309" spans="5:18" x14ac:dyDescent="0.3">
      <c r="F309">
        <v>29</v>
      </c>
      <c r="K309">
        <f t="shared" si="61"/>
        <v>29</v>
      </c>
      <c r="L309" t="e">
        <f t="shared" ca="1" si="62"/>
        <v>#N/A</v>
      </c>
      <c r="M309">
        <f t="shared" si="63"/>
        <v>0</v>
      </c>
      <c r="N309" t="e">
        <f t="shared" ca="1" si="66"/>
        <v>#N/A</v>
      </c>
      <c r="O309" t="e">
        <f t="shared" ca="1" si="67"/>
        <v>#N/A</v>
      </c>
      <c r="P309" t="e">
        <f t="shared" ca="1" si="68"/>
        <v>#N/A</v>
      </c>
      <c r="Q309" t="e">
        <f t="shared" ca="1" si="69"/>
        <v>#N/A</v>
      </c>
      <c r="R309" t="e">
        <f t="shared" ca="1" si="70"/>
        <v>#N/A</v>
      </c>
    </row>
    <row r="310" spans="5:18" x14ac:dyDescent="0.3">
      <c r="E310">
        <v>290</v>
      </c>
      <c r="F310" t="s">
        <v>3</v>
      </c>
      <c r="H310" t="s">
        <v>4</v>
      </c>
      <c r="I310">
        <f t="shared" ref="I310:I319" ca="1" si="73">IF(F310="No Team",-1,RAND())</f>
        <v>0.77848851272198527</v>
      </c>
      <c r="K310" t="str">
        <f t="shared" si="61"/>
        <v>Arsenal</v>
      </c>
      <c r="L310">
        <f t="shared" ca="1" si="62"/>
        <v>0</v>
      </c>
      <c r="M310" t="str">
        <f t="shared" si="63"/>
        <v>Tottenham Hotspur</v>
      </c>
      <c r="N310">
        <f t="shared" ca="1" si="66"/>
        <v>4</v>
      </c>
      <c r="O310" t="str">
        <f t="shared" ca="1" si="67"/>
        <v>Tottenham Hotspur</v>
      </c>
      <c r="P310" t="str">
        <f t="shared" ca="1" si="68"/>
        <v>Arsenal</v>
      </c>
      <c r="Q310" t="str">
        <f t="shared" ca="1" si="69"/>
        <v>Not Draw</v>
      </c>
      <c r="R310" t="str">
        <f t="shared" ca="1" si="70"/>
        <v>Not Draw</v>
      </c>
    </row>
    <row r="311" spans="5:18" x14ac:dyDescent="0.3">
      <c r="E311">
        <v>291</v>
      </c>
      <c r="F311" t="s">
        <v>0</v>
      </c>
      <c r="H311" t="s">
        <v>23</v>
      </c>
      <c r="I311">
        <f t="shared" ca="1" si="73"/>
        <v>0.71291468692277371</v>
      </c>
      <c r="K311" t="str">
        <f t="shared" si="61"/>
        <v>Manchester City</v>
      </c>
      <c r="L311">
        <f t="shared" ca="1" si="62"/>
        <v>5</v>
      </c>
      <c r="M311" t="str">
        <f t="shared" si="63"/>
        <v>Newcastle</v>
      </c>
      <c r="N311">
        <f t="shared" ca="1" si="66"/>
        <v>0</v>
      </c>
      <c r="O311" t="str">
        <f t="shared" ca="1" si="67"/>
        <v>Manchester City</v>
      </c>
      <c r="P311" t="str">
        <f t="shared" ca="1" si="68"/>
        <v>Newcastle</v>
      </c>
      <c r="Q311" t="str">
        <f t="shared" ca="1" si="69"/>
        <v>Not Draw</v>
      </c>
      <c r="R311" t="str">
        <f t="shared" ca="1" si="70"/>
        <v>Not Draw</v>
      </c>
    </row>
    <row r="312" spans="5:18" x14ac:dyDescent="0.3">
      <c r="E312">
        <v>292</v>
      </c>
      <c r="F312" t="s">
        <v>18</v>
      </c>
      <c r="H312" t="s">
        <v>14</v>
      </c>
      <c r="I312">
        <f t="shared" ca="1" si="73"/>
        <v>0.1522343580241512</v>
      </c>
      <c r="K312" t="str">
        <f t="shared" si="61"/>
        <v>Leicester City</v>
      </c>
      <c r="L312">
        <f t="shared" ca="1" si="62"/>
        <v>1</v>
      </c>
      <c r="M312" t="str">
        <f t="shared" si="63"/>
        <v>Huddersfield</v>
      </c>
      <c r="N312">
        <f t="shared" ca="1" si="66"/>
        <v>0</v>
      </c>
      <c r="O312" t="str">
        <f t="shared" ca="1" si="67"/>
        <v>Leicester City</v>
      </c>
      <c r="P312" t="str">
        <f t="shared" ca="1" si="68"/>
        <v>Huddersfield</v>
      </c>
      <c r="Q312" t="str">
        <f t="shared" ca="1" si="69"/>
        <v>Not Draw</v>
      </c>
      <c r="R312" t="str">
        <f t="shared" ca="1" si="70"/>
        <v>Not Draw</v>
      </c>
    </row>
    <row r="313" spans="5:18" x14ac:dyDescent="0.3">
      <c r="E313">
        <v>293</v>
      </c>
      <c r="F313" t="s">
        <v>10</v>
      </c>
      <c r="H313" t="s">
        <v>11</v>
      </c>
      <c r="I313">
        <f t="shared" ca="1" si="73"/>
        <v>8.9251132807671052E-2</v>
      </c>
      <c r="K313" t="str">
        <f t="shared" si="61"/>
        <v>Brighton</v>
      </c>
      <c r="L313">
        <f t="shared" ca="1" si="62"/>
        <v>1</v>
      </c>
      <c r="M313" t="str">
        <f t="shared" si="63"/>
        <v>Crystal Palace</v>
      </c>
      <c r="N313">
        <f t="shared" ca="1" si="66"/>
        <v>1</v>
      </c>
      <c r="O313" t="str">
        <f t="shared" ca="1" si="67"/>
        <v>Draw</v>
      </c>
      <c r="P313" t="str">
        <f t="shared" ca="1" si="68"/>
        <v>Draw</v>
      </c>
      <c r="Q313" t="str">
        <f t="shared" ca="1" si="69"/>
        <v>Brighton</v>
      </c>
      <c r="R313" t="str">
        <f t="shared" ca="1" si="70"/>
        <v>Crystal Palace</v>
      </c>
    </row>
    <row r="314" spans="5:18" x14ac:dyDescent="0.3">
      <c r="E314">
        <v>294</v>
      </c>
      <c r="F314" t="s">
        <v>16</v>
      </c>
      <c r="H314" t="s">
        <v>17</v>
      </c>
      <c r="I314">
        <f t="shared" ca="1" si="73"/>
        <v>3.4055392342022817E-3</v>
      </c>
      <c r="K314" t="str">
        <f t="shared" si="61"/>
        <v>West Ham United</v>
      </c>
      <c r="L314">
        <f t="shared" ca="1" si="62"/>
        <v>2</v>
      </c>
      <c r="M314" t="str">
        <f t="shared" si="63"/>
        <v>Stoke City</v>
      </c>
      <c r="N314">
        <f t="shared" ca="1" si="66"/>
        <v>1</v>
      </c>
      <c r="O314" t="str">
        <f t="shared" ca="1" si="67"/>
        <v>West Ham United</v>
      </c>
      <c r="P314" t="str">
        <f t="shared" ca="1" si="68"/>
        <v>Stoke City</v>
      </c>
      <c r="Q314" t="str">
        <f t="shared" ca="1" si="69"/>
        <v>Not Draw</v>
      </c>
      <c r="R314" t="str">
        <f t="shared" ca="1" si="70"/>
        <v>Not Draw</v>
      </c>
    </row>
    <row r="315" spans="5:18" x14ac:dyDescent="0.3">
      <c r="E315">
        <v>295</v>
      </c>
      <c r="F315" t="s">
        <v>7</v>
      </c>
      <c r="H315" t="s">
        <v>12</v>
      </c>
      <c r="I315">
        <f t="shared" ca="1" si="73"/>
        <v>0.91439361763459703</v>
      </c>
      <c r="K315" t="str">
        <f t="shared" si="61"/>
        <v>Burnley</v>
      </c>
      <c r="L315">
        <f t="shared" ca="1" si="62"/>
        <v>1</v>
      </c>
      <c r="M315" t="str">
        <f t="shared" si="63"/>
        <v>Southampton</v>
      </c>
      <c r="N315">
        <f t="shared" ca="1" si="66"/>
        <v>4</v>
      </c>
      <c r="O315" t="str">
        <f t="shared" ca="1" si="67"/>
        <v>Southampton</v>
      </c>
      <c r="P315" t="str">
        <f t="shared" ca="1" si="68"/>
        <v>Burnley</v>
      </c>
      <c r="Q315" t="str">
        <f t="shared" ca="1" si="69"/>
        <v>Not Draw</v>
      </c>
      <c r="R315" t="str">
        <f t="shared" ca="1" si="70"/>
        <v>Not Draw</v>
      </c>
    </row>
    <row r="316" spans="5:18" x14ac:dyDescent="0.3">
      <c r="E316">
        <v>296</v>
      </c>
      <c r="F316" t="s">
        <v>15</v>
      </c>
      <c r="H316" t="s">
        <v>1</v>
      </c>
      <c r="I316">
        <f t="shared" ca="1" si="73"/>
        <v>0.54867111500792787</v>
      </c>
      <c r="K316" t="str">
        <f t="shared" si="61"/>
        <v>West Bromwich</v>
      </c>
      <c r="L316">
        <f t="shared" ca="1" si="62"/>
        <v>2</v>
      </c>
      <c r="M316" t="str">
        <f t="shared" si="63"/>
        <v>Manchester United</v>
      </c>
      <c r="N316">
        <f t="shared" ca="1" si="66"/>
        <v>0</v>
      </c>
      <c r="O316" t="str">
        <f t="shared" ca="1" si="67"/>
        <v>West Bromwich</v>
      </c>
      <c r="P316" t="str">
        <f t="shared" ca="1" si="68"/>
        <v>Manchester United</v>
      </c>
      <c r="Q316" t="str">
        <f t="shared" ca="1" si="69"/>
        <v>Not Draw</v>
      </c>
      <c r="R316" t="str">
        <f t="shared" ca="1" si="70"/>
        <v>Not Draw</v>
      </c>
    </row>
    <row r="317" spans="5:18" x14ac:dyDescent="0.3">
      <c r="E317">
        <v>297</v>
      </c>
      <c r="F317" t="s">
        <v>13</v>
      </c>
      <c r="H317" t="s">
        <v>9</v>
      </c>
      <c r="I317">
        <f t="shared" ca="1" si="73"/>
        <v>0.40539836740564628</v>
      </c>
      <c r="K317" t="str">
        <f t="shared" si="61"/>
        <v>Swansea City</v>
      </c>
      <c r="L317">
        <f t="shared" ca="1" si="62"/>
        <v>5</v>
      </c>
      <c r="M317" t="str">
        <f t="shared" si="63"/>
        <v>Bournemouth</v>
      </c>
      <c r="N317">
        <f t="shared" ca="1" si="66"/>
        <v>2</v>
      </c>
      <c r="O317" t="str">
        <f t="shared" ca="1" si="67"/>
        <v>Swansea City</v>
      </c>
      <c r="P317" t="str">
        <f t="shared" ca="1" si="68"/>
        <v>Bournemouth</v>
      </c>
      <c r="Q317" t="str">
        <f t="shared" ca="1" si="69"/>
        <v>Not Draw</v>
      </c>
      <c r="R317" t="str">
        <f t="shared" ca="1" si="70"/>
        <v>Not Draw</v>
      </c>
    </row>
    <row r="318" spans="5:18" x14ac:dyDescent="0.3">
      <c r="E318">
        <v>298</v>
      </c>
      <c r="F318" t="s">
        <v>6</v>
      </c>
      <c r="H318" t="s">
        <v>8</v>
      </c>
      <c r="I318">
        <f t="shared" ca="1" si="73"/>
        <v>0.63393784154307242</v>
      </c>
      <c r="K318" t="str">
        <f t="shared" si="61"/>
        <v>Everton</v>
      </c>
      <c r="L318">
        <f t="shared" ca="1" si="62"/>
        <v>2</v>
      </c>
      <c r="M318" t="str">
        <f t="shared" si="63"/>
        <v>Watford</v>
      </c>
      <c r="N318">
        <f t="shared" ca="1" si="66"/>
        <v>0</v>
      </c>
      <c r="O318" t="str">
        <f t="shared" ca="1" si="67"/>
        <v>Everton</v>
      </c>
      <c r="P318" t="str">
        <f t="shared" ca="1" si="68"/>
        <v>Watford</v>
      </c>
      <c r="Q318" t="str">
        <f t="shared" ca="1" si="69"/>
        <v>Not Draw</v>
      </c>
      <c r="R318" t="str">
        <f t="shared" ca="1" si="70"/>
        <v>Not Draw</v>
      </c>
    </row>
    <row r="319" spans="5:18" x14ac:dyDescent="0.3">
      <c r="E319">
        <v>299</v>
      </c>
      <c r="F319" t="s">
        <v>2</v>
      </c>
      <c r="H319" t="s">
        <v>5</v>
      </c>
      <c r="I319">
        <f t="shared" ca="1" si="73"/>
        <v>0.65270868900411638</v>
      </c>
      <c r="K319" t="str">
        <f t="shared" si="61"/>
        <v>Chelsea</v>
      </c>
      <c r="L319">
        <f t="shared" ca="1" si="62"/>
        <v>1</v>
      </c>
      <c r="M319" t="str">
        <f t="shared" si="63"/>
        <v>Liverpool</v>
      </c>
      <c r="N319">
        <f t="shared" ca="1" si="66"/>
        <v>2</v>
      </c>
      <c r="O319" t="str">
        <f t="shared" ca="1" si="67"/>
        <v>Liverpool</v>
      </c>
      <c r="P319" t="str">
        <f t="shared" ca="1" si="68"/>
        <v>Chelsea</v>
      </c>
      <c r="Q319" t="str">
        <f t="shared" ca="1" si="69"/>
        <v>Not Draw</v>
      </c>
      <c r="R319" t="str">
        <f t="shared" ca="1" si="70"/>
        <v>Not Draw</v>
      </c>
    </row>
    <row r="320" spans="5:18" x14ac:dyDescent="0.3">
      <c r="F320">
        <v>30</v>
      </c>
      <c r="K320">
        <f t="shared" si="61"/>
        <v>30</v>
      </c>
      <c r="L320" t="e">
        <f t="shared" ca="1" si="62"/>
        <v>#N/A</v>
      </c>
      <c r="M320">
        <f t="shared" si="63"/>
        <v>0</v>
      </c>
      <c r="N320" t="e">
        <f t="shared" ca="1" si="66"/>
        <v>#N/A</v>
      </c>
      <c r="O320" t="e">
        <f t="shared" ca="1" si="67"/>
        <v>#N/A</v>
      </c>
      <c r="P320" t="e">
        <f t="shared" ca="1" si="68"/>
        <v>#N/A</v>
      </c>
      <c r="Q320" t="e">
        <f t="shared" ca="1" si="69"/>
        <v>#N/A</v>
      </c>
      <c r="R320" t="e">
        <f t="shared" ca="1" si="70"/>
        <v>#N/A</v>
      </c>
    </row>
    <row r="321" spans="5:18" x14ac:dyDescent="0.3">
      <c r="E321">
        <v>300</v>
      </c>
      <c r="F321" t="s">
        <v>14</v>
      </c>
      <c r="H321" t="s">
        <v>23</v>
      </c>
      <c r="I321">
        <f t="shared" ref="I321:I330" ca="1" si="74">IF(F321="No Team",-1,RAND())</f>
        <v>0.93986157548434202</v>
      </c>
      <c r="K321" t="str">
        <f t="shared" si="61"/>
        <v>Huddersfield</v>
      </c>
      <c r="L321">
        <f t="shared" ca="1" si="62"/>
        <v>0</v>
      </c>
      <c r="M321" t="str">
        <f t="shared" si="63"/>
        <v>Newcastle</v>
      </c>
      <c r="N321">
        <f t="shared" ca="1" si="66"/>
        <v>0</v>
      </c>
      <c r="O321" t="str">
        <f t="shared" ca="1" si="67"/>
        <v>Draw</v>
      </c>
      <c r="P321" t="str">
        <f t="shared" ca="1" si="68"/>
        <v>Draw</v>
      </c>
      <c r="Q321" t="str">
        <f t="shared" ca="1" si="69"/>
        <v>Huddersfield</v>
      </c>
      <c r="R321" t="str">
        <f t="shared" ca="1" si="70"/>
        <v>Newcastle</v>
      </c>
    </row>
    <row r="322" spans="5:18" x14ac:dyDescent="0.3">
      <c r="E322">
        <v>301</v>
      </c>
      <c r="F322" t="s">
        <v>6</v>
      </c>
      <c r="H322" t="s">
        <v>7</v>
      </c>
      <c r="I322">
        <f t="shared" ca="1" si="74"/>
        <v>0.62243014325246637</v>
      </c>
      <c r="K322" t="str">
        <f t="shared" si="61"/>
        <v>Everton</v>
      </c>
      <c r="L322">
        <f t="shared" ca="1" si="62"/>
        <v>2</v>
      </c>
      <c r="M322" t="str">
        <f t="shared" si="63"/>
        <v>Burnley</v>
      </c>
      <c r="N322">
        <f t="shared" ca="1" si="66"/>
        <v>1</v>
      </c>
      <c r="O322" t="str">
        <f t="shared" ca="1" si="67"/>
        <v>Everton</v>
      </c>
      <c r="P322" t="str">
        <f t="shared" ca="1" si="68"/>
        <v>Burnley</v>
      </c>
      <c r="Q322" t="str">
        <f t="shared" ca="1" si="69"/>
        <v>Not Draw</v>
      </c>
      <c r="R322" t="str">
        <f t="shared" ca="1" si="70"/>
        <v>Not Draw</v>
      </c>
    </row>
    <row r="323" spans="5:18" x14ac:dyDescent="0.3">
      <c r="E323">
        <v>302</v>
      </c>
      <c r="F323" t="s">
        <v>15</v>
      </c>
      <c r="H323" t="s">
        <v>10</v>
      </c>
      <c r="I323">
        <f t="shared" ca="1" si="74"/>
        <v>0.98060724846582537</v>
      </c>
      <c r="K323" t="str">
        <f t="shared" ref="K323:K386" si="75">F323</f>
        <v>West Bromwich</v>
      </c>
      <c r="L323">
        <f t="shared" ref="L323:L386" ca="1" si="76">MAX(0,(VLOOKUP(RAND(),$S$2:$T$9,2,1)+(IF(RAND()+((VLOOKUP(K323,$B$23:$C$42,2,1)-VLOOKUP(M323,$B$23:$C$42,2,1))/2)&gt;0.9,1,0)+(IF(RAND()+((VLOOKUP(K323,$B$23:$C$42,2,1)-VLOOKUP(M323,$B$23:$C$42,2,1))/2)&lt;0,-1,0)))))</f>
        <v>2</v>
      </c>
      <c r="M323" t="str">
        <f t="shared" ref="M323:M386" si="77">H323</f>
        <v>Brighton</v>
      </c>
      <c r="N323">
        <f t="shared" ca="1" si="66"/>
        <v>1</v>
      </c>
      <c r="O323" t="str">
        <f t="shared" ca="1" si="67"/>
        <v>West Bromwich</v>
      </c>
      <c r="P323" t="str">
        <f t="shared" ca="1" si="68"/>
        <v>Brighton</v>
      </c>
      <c r="Q323" t="str">
        <f t="shared" ca="1" si="69"/>
        <v>Not Draw</v>
      </c>
      <c r="R323" t="str">
        <f t="shared" ca="1" si="70"/>
        <v>Not Draw</v>
      </c>
    </row>
    <row r="324" spans="5:18" x14ac:dyDescent="0.3">
      <c r="E324">
        <v>303</v>
      </c>
      <c r="F324" t="s">
        <v>1</v>
      </c>
      <c r="H324" t="s">
        <v>11</v>
      </c>
      <c r="I324">
        <f t="shared" ca="1" si="74"/>
        <v>0.94102912849851028</v>
      </c>
      <c r="K324" t="str">
        <f t="shared" si="75"/>
        <v>Manchester United</v>
      </c>
      <c r="L324">
        <f t="shared" ca="1" si="76"/>
        <v>1</v>
      </c>
      <c r="M324" t="str">
        <f t="shared" si="77"/>
        <v>Crystal Palace</v>
      </c>
      <c r="N324">
        <f t="shared" ca="1" si="66"/>
        <v>2</v>
      </c>
      <c r="O324" t="str">
        <f t="shared" ca="1" si="67"/>
        <v>Crystal Palace</v>
      </c>
      <c r="P324" t="str">
        <f t="shared" ca="1" si="68"/>
        <v>Manchester United</v>
      </c>
      <c r="Q324" t="str">
        <f t="shared" ca="1" si="69"/>
        <v>Not Draw</v>
      </c>
      <c r="R324" t="str">
        <f t="shared" ca="1" si="70"/>
        <v>Not Draw</v>
      </c>
    </row>
    <row r="325" spans="5:18" x14ac:dyDescent="0.3">
      <c r="E325">
        <v>304</v>
      </c>
      <c r="F325" t="s">
        <v>4</v>
      </c>
      <c r="H325" t="s">
        <v>9</v>
      </c>
      <c r="I325">
        <f t="shared" ca="1" si="74"/>
        <v>0.27257775355572278</v>
      </c>
      <c r="K325" t="str">
        <f t="shared" si="75"/>
        <v>Tottenham Hotspur</v>
      </c>
      <c r="L325">
        <f t="shared" ca="1" si="76"/>
        <v>4</v>
      </c>
      <c r="M325" t="str">
        <f t="shared" si="77"/>
        <v>Bournemouth</v>
      </c>
      <c r="N325">
        <f t="shared" ca="1" si="66"/>
        <v>1</v>
      </c>
      <c r="O325" t="str">
        <f t="shared" ca="1" si="67"/>
        <v>Tottenham Hotspur</v>
      </c>
      <c r="P325" t="str">
        <f t="shared" ca="1" si="68"/>
        <v>Bournemouth</v>
      </c>
      <c r="Q325" t="str">
        <f t="shared" ca="1" si="69"/>
        <v>Not Draw</v>
      </c>
      <c r="R325" t="str">
        <f t="shared" ca="1" si="70"/>
        <v>Not Draw</v>
      </c>
    </row>
    <row r="326" spans="5:18" x14ac:dyDescent="0.3">
      <c r="E326">
        <v>305</v>
      </c>
      <c r="F326" t="s">
        <v>2</v>
      </c>
      <c r="H326" t="s">
        <v>16</v>
      </c>
      <c r="I326">
        <f t="shared" ca="1" si="74"/>
        <v>0.9814305181736408</v>
      </c>
      <c r="K326" t="str">
        <f t="shared" si="75"/>
        <v>Chelsea</v>
      </c>
      <c r="L326">
        <f t="shared" ca="1" si="76"/>
        <v>1</v>
      </c>
      <c r="M326" t="str">
        <f t="shared" si="77"/>
        <v>West Ham United</v>
      </c>
      <c r="N326">
        <f t="shared" ca="1" si="66"/>
        <v>1</v>
      </c>
      <c r="O326" t="str">
        <f t="shared" ca="1" si="67"/>
        <v>Draw</v>
      </c>
      <c r="P326" t="str">
        <f t="shared" ca="1" si="68"/>
        <v>Draw</v>
      </c>
      <c r="Q326" t="str">
        <f t="shared" ca="1" si="69"/>
        <v>Chelsea</v>
      </c>
      <c r="R326" t="str">
        <f t="shared" ca="1" si="70"/>
        <v>West Ham United</v>
      </c>
    </row>
    <row r="327" spans="5:18" x14ac:dyDescent="0.3">
      <c r="E327">
        <v>306</v>
      </c>
      <c r="F327" t="s">
        <v>5</v>
      </c>
      <c r="H327" t="s">
        <v>17</v>
      </c>
      <c r="I327">
        <f t="shared" ca="1" si="74"/>
        <v>0.62487494303635838</v>
      </c>
      <c r="K327" t="str">
        <f t="shared" si="75"/>
        <v>Liverpool</v>
      </c>
      <c r="L327">
        <f t="shared" ca="1" si="76"/>
        <v>0</v>
      </c>
      <c r="M327" t="str">
        <f t="shared" si="77"/>
        <v>Stoke City</v>
      </c>
      <c r="N327">
        <f t="shared" ca="1" si="66"/>
        <v>2</v>
      </c>
      <c r="O327" t="str">
        <f t="shared" ca="1" si="67"/>
        <v>Stoke City</v>
      </c>
      <c r="P327" t="str">
        <f t="shared" ca="1" si="68"/>
        <v>Liverpool</v>
      </c>
      <c r="Q327" t="str">
        <f t="shared" ca="1" si="69"/>
        <v>Not Draw</v>
      </c>
      <c r="R327" t="str">
        <f t="shared" ca="1" si="70"/>
        <v>Not Draw</v>
      </c>
    </row>
    <row r="328" spans="5:18" x14ac:dyDescent="0.3">
      <c r="E328">
        <v>307</v>
      </c>
      <c r="F328" t="s">
        <v>8</v>
      </c>
      <c r="H328" t="s">
        <v>12</v>
      </c>
      <c r="I328">
        <f t="shared" ca="1" si="74"/>
        <v>0.27411273107352763</v>
      </c>
      <c r="K328" t="str">
        <f t="shared" si="75"/>
        <v>Watford</v>
      </c>
      <c r="L328">
        <f t="shared" ca="1" si="76"/>
        <v>2</v>
      </c>
      <c r="M328" t="str">
        <f t="shared" si="77"/>
        <v>Southampton</v>
      </c>
      <c r="N328">
        <f t="shared" ca="1" si="66"/>
        <v>2</v>
      </c>
      <c r="O328" t="str">
        <f t="shared" ca="1" si="67"/>
        <v>Draw</v>
      </c>
      <c r="P328" t="str">
        <f t="shared" ca="1" si="68"/>
        <v>Draw</v>
      </c>
      <c r="Q328" t="str">
        <f t="shared" ca="1" si="69"/>
        <v>Watford</v>
      </c>
      <c r="R328" t="str">
        <f t="shared" ca="1" si="70"/>
        <v>Southampton</v>
      </c>
    </row>
    <row r="329" spans="5:18" x14ac:dyDescent="0.3">
      <c r="E329">
        <v>308</v>
      </c>
      <c r="F329" t="s">
        <v>18</v>
      </c>
      <c r="H329" t="s">
        <v>0</v>
      </c>
      <c r="I329">
        <f t="shared" ca="1" si="74"/>
        <v>0.25099981034611418</v>
      </c>
      <c r="K329" t="str">
        <f t="shared" si="75"/>
        <v>Leicester City</v>
      </c>
      <c r="L329">
        <f t="shared" ca="1" si="76"/>
        <v>1</v>
      </c>
      <c r="M329" t="str">
        <f t="shared" si="77"/>
        <v>Manchester City</v>
      </c>
      <c r="N329">
        <f t="shared" ca="1" si="66"/>
        <v>2</v>
      </c>
      <c r="O329" t="str">
        <f t="shared" ca="1" si="67"/>
        <v>Manchester City</v>
      </c>
      <c r="P329" t="str">
        <f t="shared" ca="1" si="68"/>
        <v>Leicester City</v>
      </c>
      <c r="Q329" t="str">
        <f t="shared" ca="1" si="69"/>
        <v>Not Draw</v>
      </c>
      <c r="R329" t="str">
        <f t="shared" ca="1" si="70"/>
        <v>Not Draw</v>
      </c>
    </row>
    <row r="330" spans="5:18" x14ac:dyDescent="0.3">
      <c r="E330">
        <v>309</v>
      </c>
      <c r="F330" t="s">
        <v>13</v>
      </c>
      <c r="H330" t="s">
        <v>3</v>
      </c>
      <c r="I330">
        <f t="shared" ca="1" si="74"/>
        <v>0.39414636830233296</v>
      </c>
      <c r="K330" t="str">
        <f t="shared" si="75"/>
        <v>Swansea City</v>
      </c>
      <c r="L330">
        <f t="shared" ca="1" si="76"/>
        <v>1</v>
      </c>
      <c r="M330" t="str">
        <f t="shared" si="77"/>
        <v>Arsenal</v>
      </c>
      <c r="N330">
        <f t="shared" ca="1" si="66"/>
        <v>0</v>
      </c>
      <c r="O330" t="str">
        <f t="shared" ca="1" si="67"/>
        <v>Swansea City</v>
      </c>
      <c r="P330" t="str">
        <f t="shared" ca="1" si="68"/>
        <v>Arsenal</v>
      </c>
      <c r="Q330" t="str">
        <f t="shared" ca="1" si="69"/>
        <v>Not Draw</v>
      </c>
      <c r="R330" t="str">
        <f t="shared" ca="1" si="70"/>
        <v>Not Draw</v>
      </c>
    </row>
    <row r="331" spans="5:18" x14ac:dyDescent="0.3">
      <c r="F331">
        <v>31</v>
      </c>
      <c r="K331">
        <f t="shared" si="75"/>
        <v>31</v>
      </c>
      <c r="L331" t="e">
        <f t="shared" ca="1" si="76"/>
        <v>#N/A</v>
      </c>
      <c r="M331">
        <f t="shared" si="77"/>
        <v>0</v>
      </c>
      <c r="N331" t="e">
        <f t="shared" ca="1" si="66"/>
        <v>#N/A</v>
      </c>
      <c r="O331" t="e">
        <f t="shared" ca="1" si="67"/>
        <v>#N/A</v>
      </c>
      <c r="P331" t="e">
        <f t="shared" ca="1" si="68"/>
        <v>#N/A</v>
      </c>
      <c r="Q331" t="e">
        <f t="shared" ca="1" si="69"/>
        <v>#N/A</v>
      </c>
      <c r="R331" t="e">
        <f t="shared" ca="1" si="70"/>
        <v>#N/A</v>
      </c>
    </row>
    <row r="332" spans="5:18" x14ac:dyDescent="0.3">
      <c r="E332">
        <v>310</v>
      </c>
      <c r="F332" t="s">
        <v>0</v>
      </c>
      <c r="H332" t="s">
        <v>15</v>
      </c>
      <c r="I332">
        <f t="shared" ref="I332:I341" ca="1" si="78">IF(F332="No Team",-1,RAND())</f>
        <v>0.34557434991562208</v>
      </c>
      <c r="K332" t="str">
        <f t="shared" si="75"/>
        <v>Manchester City</v>
      </c>
      <c r="L332">
        <f t="shared" ca="1" si="76"/>
        <v>0</v>
      </c>
      <c r="M332" t="str">
        <f t="shared" si="77"/>
        <v>West Bromwich</v>
      </c>
      <c r="N332">
        <f t="shared" ca="1" si="66"/>
        <v>0</v>
      </c>
      <c r="O332" t="str">
        <f t="shared" ca="1" si="67"/>
        <v>Draw</v>
      </c>
      <c r="P332" t="str">
        <f t="shared" ca="1" si="68"/>
        <v>Draw</v>
      </c>
      <c r="Q332" t="str">
        <f t="shared" ca="1" si="69"/>
        <v>Manchester City</v>
      </c>
      <c r="R332" t="str">
        <f t="shared" ca="1" si="70"/>
        <v>West Bromwich</v>
      </c>
    </row>
    <row r="333" spans="5:18" x14ac:dyDescent="0.3">
      <c r="E333">
        <v>311</v>
      </c>
      <c r="F333" t="s">
        <v>9</v>
      </c>
      <c r="H333" t="s">
        <v>5</v>
      </c>
      <c r="I333">
        <f t="shared" ca="1" si="78"/>
        <v>0.13337150463810732</v>
      </c>
      <c r="K333" t="str">
        <f t="shared" si="75"/>
        <v>Bournemouth</v>
      </c>
      <c r="L333">
        <f t="shared" ca="1" si="76"/>
        <v>3</v>
      </c>
      <c r="M333" t="str">
        <f t="shared" si="77"/>
        <v>Liverpool</v>
      </c>
      <c r="N333">
        <f t="shared" ca="1" si="66"/>
        <v>6</v>
      </c>
      <c r="O333" t="str">
        <f t="shared" ca="1" si="67"/>
        <v>Liverpool</v>
      </c>
      <c r="P333" t="str">
        <f t="shared" ca="1" si="68"/>
        <v>Bournemouth</v>
      </c>
      <c r="Q333" t="str">
        <f t="shared" ca="1" si="69"/>
        <v>Not Draw</v>
      </c>
      <c r="R333" t="str">
        <f t="shared" ca="1" si="70"/>
        <v>Not Draw</v>
      </c>
    </row>
    <row r="334" spans="5:18" x14ac:dyDescent="0.3">
      <c r="E334">
        <v>312</v>
      </c>
      <c r="F334" t="s">
        <v>23</v>
      </c>
      <c r="H334" t="s">
        <v>1</v>
      </c>
      <c r="I334">
        <f t="shared" ca="1" si="78"/>
        <v>0.65485621878411182</v>
      </c>
      <c r="K334" t="str">
        <f t="shared" si="75"/>
        <v>Newcastle</v>
      </c>
      <c r="L334">
        <f t="shared" ca="1" si="76"/>
        <v>1</v>
      </c>
      <c r="M334" t="str">
        <f t="shared" si="77"/>
        <v>Manchester United</v>
      </c>
      <c r="N334">
        <f t="shared" ca="1" si="66"/>
        <v>2</v>
      </c>
      <c r="O334" t="str">
        <f t="shared" ca="1" si="67"/>
        <v>Manchester United</v>
      </c>
      <c r="P334" t="str">
        <f t="shared" ca="1" si="68"/>
        <v>Newcastle</v>
      </c>
      <c r="Q334" t="str">
        <f t="shared" ca="1" si="69"/>
        <v>Not Draw</v>
      </c>
      <c r="R334" t="str">
        <f t="shared" ca="1" si="70"/>
        <v>Not Draw</v>
      </c>
    </row>
    <row r="335" spans="5:18" x14ac:dyDescent="0.3">
      <c r="E335">
        <v>313</v>
      </c>
      <c r="F335" t="s">
        <v>17</v>
      </c>
      <c r="H335" t="s">
        <v>8</v>
      </c>
      <c r="I335">
        <f t="shared" ca="1" si="78"/>
        <v>0.37889590901954806</v>
      </c>
      <c r="K335" t="str">
        <f t="shared" si="75"/>
        <v>Stoke City</v>
      </c>
      <c r="L335">
        <f t="shared" ca="1" si="76"/>
        <v>2</v>
      </c>
      <c r="M335" t="str">
        <f t="shared" si="77"/>
        <v>Watford</v>
      </c>
      <c r="N335">
        <f t="shared" ca="1" si="66"/>
        <v>3</v>
      </c>
      <c r="O335" t="str">
        <f t="shared" ca="1" si="67"/>
        <v>Watford</v>
      </c>
      <c r="P335" t="str">
        <f t="shared" ca="1" si="68"/>
        <v>Stoke City</v>
      </c>
      <c r="Q335" t="str">
        <f t="shared" ca="1" si="69"/>
        <v>Not Draw</v>
      </c>
      <c r="R335" t="str">
        <f t="shared" ca="1" si="70"/>
        <v>Not Draw</v>
      </c>
    </row>
    <row r="336" spans="5:18" x14ac:dyDescent="0.3">
      <c r="E336">
        <v>314</v>
      </c>
      <c r="F336" t="s">
        <v>7</v>
      </c>
      <c r="H336" t="s">
        <v>18</v>
      </c>
      <c r="I336">
        <f t="shared" ca="1" si="78"/>
        <v>0.62162167078658914</v>
      </c>
      <c r="K336" t="str">
        <f t="shared" si="75"/>
        <v>Burnley</v>
      </c>
      <c r="L336">
        <f t="shared" ca="1" si="76"/>
        <v>0</v>
      </c>
      <c r="M336" t="str">
        <f t="shared" si="77"/>
        <v>Leicester City</v>
      </c>
      <c r="N336">
        <f t="shared" ca="1" si="66"/>
        <v>0</v>
      </c>
      <c r="O336" t="str">
        <f t="shared" ca="1" si="67"/>
        <v>Draw</v>
      </c>
      <c r="P336" t="str">
        <f t="shared" ca="1" si="68"/>
        <v>Draw</v>
      </c>
      <c r="Q336" t="str">
        <f t="shared" ca="1" si="69"/>
        <v>Burnley</v>
      </c>
      <c r="R336" t="str">
        <f t="shared" ca="1" si="70"/>
        <v>Leicester City</v>
      </c>
    </row>
    <row r="337" spans="5:18" x14ac:dyDescent="0.3">
      <c r="E337">
        <v>315</v>
      </c>
      <c r="F337" t="s">
        <v>16</v>
      </c>
      <c r="H337" t="s">
        <v>6</v>
      </c>
      <c r="I337">
        <f t="shared" ca="1" si="78"/>
        <v>0.44806311897758699</v>
      </c>
      <c r="K337" t="str">
        <f t="shared" si="75"/>
        <v>West Ham United</v>
      </c>
      <c r="L337">
        <f t="shared" ca="1" si="76"/>
        <v>0</v>
      </c>
      <c r="M337" t="str">
        <f t="shared" si="77"/>
        <v>Everton</v>
      </c>
      <c r="N337">
        <f t="shared" ca="1" si="66"/>
        <v>0</v>
      </c>
      <c r="O337" t="str">
        <f t="shared" ca="1" si="67"/>
        <v>Draw</v>
      </c>
      <c r="P337" t="str">
        <f t="shared" ca="1" si="68"/>
        <v>Draw</v>
      </c>
      <c r="Q337" t="str">
        <f t="shared" ca="1" si="69"/>
        <v>West Ham United</v>
      </c>
      <c r="R337" t="str">
        <f t="shared" ca="1" si="70"/>
        <v>Everton</v>
      </c>
    </row>
    <row r="338" spans="5:18" x14ac:dyDescent="0.3">
      <c r="E338">
        <v>316</v>
      </c>
      <c r="F338" t="s">
        <v>12</v>
      </c>
      <c r="H338" t="s">
        <v>14</v>
      </c>
      <c r="I338">
        <f t="shared" ca="1" si="78"/>
        <v>0.34064692728285861</v>
      </c>
      <c r="K338" t="str">
        <f t="shared" si="75"/>
        <v>Southampton</v>
      </c>
      <c r="L338">
        <f t="shared" ca="1" si="76"/>
        <v>0</v>
      </c>
      <c r="M338" t="str">
        <f t="shared" si="77"/>
        <v>Huddersfield</v>
      </c>
      <c r="N338">
        <f t="shared" ca="1" si="66"/>
        <v>0</v>
      </c>
      <c r="O338" t="str">
        <f t="shared" ca="1" si="67"/>
        <v>Draw</v>
      </c>
      <c r="P338" t="str">
        <f t="shared" ca="1" si="68"/>
        <v>Draw</v>
      </c>
      <c r="Q338" t="str">
        <f t="shared" ca="1" si="69"/>
        <v>Southampton</v>
      </c>
      <c r="R338" t="str">
        <f t="shared" ca="1" si="70"/>
        <v>Huddersfield</v>
      </c>
    </row>
    <row r="339" spans="5:18" x14ac:dyDescent="0.3">
      <c r="E339">
        <v>317</v>
      </c>
      <c r="F339" t="s">
        <v>3</v>
      </c>
      <c r="H339" t="s">
        <v>2</v>
      </c>
      <c r="I339">
        <f t="shared" ca="1" si="78"/>
        <v>0.18125966720719611</v>
      </c>
      <c r="K339" t="str">
        <f t="shared" si="75"/>
        <v>Arsenal</v>
      </c>
      <c r="L339">
        <f t="shared" ca="1" si="76"/>
        <v>1</v>
      </c>
      <c r="M339" t="str">
        <f t="shared" si="77"/>
        <v>Chelsea</v>
      </c>
      <c r="N339">
        <f t="shared" ca="1" si="66"/>
        <v>0</v>
      </c>
      <c r="O339" t="str">
        <f t="shared" ca="1" si="67"/>
        <v>Arsenal</v>
      </c>
      <c r="P339" t="str">
        <f t="shared" ca="1" si="68"/>
        <v>Chelsea</v>
      </c>
      <c r="Q339" t="str">
        <f t="shared" ca="1" si="69"/>
        <v>Not Draw</v>
      </c>
      <c r="R339" t="str">
        <f t="shared" ca="1" si="70"/>
        <v>Not Draw</v>
      </c>
    </row>
    <row r="340" spans="5:18" x14ac:dyDescent="0.3">
      <c r="E340">
        <v>318</v>
      </c>
      <c r="F340" t="s">
        <v>11</v>
      </c>
      <c r="H340" t="s">
        <v>4</v>
      </c>
      <c r="I340">
        <f t="shared" ca="1" si="78"/>
        <v>0.64803152849678358</v>
      </c>
      <c r="K340" t="str">
        <f t="shared" si="75"/>
        <v>Crystal Palace</v>
      </c>
      <c r="L340">
        <f t="shared" ca="1" si="76"/>
        <v>0</v>
      </c>
      <c r="M340" t="str">
        <f t="shared" si="77"/>
        <v>Tottenham Hotspur</v>
      </c>
      <c r="N340">
        <f t="shared" ca="1" si="66"/>
        <v>2</v>
      </c>
      <c r="O340" t="str">
        <f t="shared" ca="1" si="67"/>
        <v>Tottenham Hotspur</v>
      </c>
      <c r="P340" t="str">
        <f t="shared" ca="1" si="68"/>
        <v>Crystal Palace</v>
      </c>
      <c r="Q340" t="str">
        <f t="shared" ca="1" si="69"/>
        <v>Not Draw</v>
      </c>
      <c r="R340" t="str">
        <f t="shared" ca="1" si="70"/>
        <v>Not Draw</v>
      </c>
    </row>
    <row r="341" spans="5:18" x14ac:dyDescent="0.3">
      <c r="E341">
        <v>319</v>
      </c>
      <c r="F341" t="s">
        <v>10</v>
      </c>
      <c r="H341" t="s">
        <v>13</v>
      </c>
      <c r="I341">
        <f t="shared" ca="1" si="78"/>
        <v>0.11137584639937759</v>
      </c>
      <c r="K341" t="str">
        <f t="shared" si="75"/>
        <v>Brighton</v>
      </c>
      <c r="L341">
        <f t="shared" ca="1" si="76"/>
        <v>2</v>
      </c>
      <c r="M341" t="str">
        <f t="shared" si="77"/>
        <v>Swansea City</v>
      </c>
      <c r="N341">
        <f t="shared" ca="1" si="66"/>
        <v>2</v>
      </c>
      <c r="O341" t="str">
        <f t="shared" ca="1" si="67"/>
        <v>Draw</v>
      </c>
      <c r="P341" t="str">
        <f t="shared" ca="1" si="68"/>
        <v>Draw</v>
      </c>
      <c r="Q341" t="str">
        <f t="shared" ca="1" si="69"/>
        <v>Brighton</v>
      </c>
      <c r="R341" t="str">
        <f t="shared" ca="1" si="70"/>
        <v>Swansea City</v>
      </c>
    </row>
    <row r="342" spans="5:18" x14ac:dyDescent="0.3">
      <c r="F342">
        <v>32</v>
      </c>
      <c r="K342">
        <f t="shared" si="75"/>
        <v>32</v>
      </c>
      <c r="L342" t="e">
        <f t="shared" ca="1" si="76"/>
        <v>#N/A</v>
      </c>
      <c r="M342">
        <f t="shared" si="77"/>
        <v>0</v>
      </c>
      <c r="N342" t="e">
        <f t="shared" ca="1" si="66"/>
        <v>#N/A</v>
      </c>
      <c r="O342" t="e">
        <f t="shared" ca="1" si="67"/>
        <v>#N/A</v>
      </c>
      <c r="P342" t="e">
        <f t="shared" ca="1" si="68"/>
        <v>#N/A</v>
      </c>
      <c r="Q342" t="e">
        <f t="shared" ca="1" si="69"/>
        <v>#N/A</v>
      </c>
      <c r="R342" t="e">
        <f t="shared" ca="1" si="70"/>
        <v>#N/A</v>
      </c>
    </row>
    <row r="343" spans="5:18" x14ac:dyDescent="0.3">
      <c r="E343">
        <v>320</v>
      </c>
      <c r="F343" t="s">
        <v>6</v>
      </c>
      <c r="H343" t="s">
        <v>3</v>
      </c>
      <c r="I343">
        <f t="shared" ref="I343:I352" ca="1" si="79">IF(F343="No Team",-1,RAND())</f>
        <v>3.9457961478137737E-2</v>
      </c>
      <c r="K343" t="str">
        <f t="shared" si="75"/>
        <v>Everton</v>
      </c>
      <c r="L343">
        <f t="shared" ca="1" si="76"/>
        <v>2</v>
      </c>
      <c r="M343" t="str">
        <f t="shared" si="77"/>
        <v>Arsenal</v>
      </c>
      <c r="N343">
        <f t="shared" ca="1" si="66"/>
        <v>2</v>
      </c>
      <c r="O343" t="str">
        <f t="shared" ca="1" si="67"/>
        <v>Draw</v>
      </c>
      <c r="P343" t="str">
        <f t="shared" ca="1" si="68"/>
        <v>Draw</v>
      </c>
      <c r="Q343" t="str">
        <f t="shared" ca="1" si="69"/>
        <v>Everton</v>
      </c>
      <c r="R343" t="str">
        <f t="shared" ca="1" si="70"/>
        <v>Arsenal</v>
      </c>
    </row>
    <row r="344" spans="5:18" x14ac:dyDescent="0.3">
      <c r="E344">
        <v>321</v>
      </c>
      <c r="F344" t="s">
        <v>13</v>
      </c>
      <c r="H344" t="s">
        <v>0</v>
      </c>
      <c r="I344">
        <f t="shared" ca="1" si="79"/>
        <v>0.22856874385847781</v>
      </c>
      <c r="K344" t="str">
        <f t="shared" si="75"/>
        <v>Swansea City</v>
      </c>
      <c r="L344">
        <f t="shared" ca="1" si="76"/>
        <v>0</v>
      </c>
      <c r="M344" t="str">
        <f t="shared" si="77"/>
        <v>Manchester City</v>
      </c>
      <c r="N344">
        <f t="shared" ca="1" si="66"/>
        <v>1</v>
      </c>
      <c r="O344" t="str">
        <f t="shared" ca="1" si="67"/>
        <v>Manchester City</v>
      </c>
      <c r="P344" t="str">
        <f t="shared" ca="1" si="68"/>
        <v>Swansea City</v>
      </c>
      <c r="Q344" t="str">
        <f t="shared" ca="1" si="69"/>
        <v>Not Draw</v>
      </c>
      <c r="R344" t="str">
        <f t="shared" ca="1" si="70"/>
        <v>Not Draw</v>
      </c>
    </row>
    <row r="345" spans="5:18" x14ac:dyDescent="0.3">
      <c r="E345">
        <v>322</v>
      </c>
      <c r="F345" t="s">
        <v>1</v>
      </c>
      <c r="H345" t="s">
        <v>12</v>
      </c>
      <c r="I345">
        <f t="shared" ca="1" si="79"/>
        <v>0.5405731574178283</v>
      </c>
      <c r="K345" t="str">
        <f t="shared" si="75"/>
        <v>Manchester United</v>
      </c>
      <c r="L345">
        <f t="shared" ca="1" si="76"/>
        <v>1</v>
      </c>
      <c r="M345" t="str">
        <f t="shared" si="77"/>
        <v>Southampton</v>
      </c>
      <c r="N345">
        <f t="shared" ca="1" si="66"/>
        <v>1</v>
      </c>
      <c r="O345" t="str">
        <f t="shared" ca="1" si="67"/>
        <v>Draw</v>
      </c>
      <c r="P345" t="str">
        <f t="shared" ca="1" si="68"/>
        <v>Draw</v>
      </c>
      <c r="Q345" t="str">
        <f t="shared" ca="1" si="69"/>
        <v>Manchester United</v>
      </c>
      <c r="R345" t="str">
        <f t="shared" ca="1" si="70"/>
        <v>Southampton</v>
      </c>
    </row>
    <row r="346" spans="5:18" x14ac:dyDescent="0.3">
      <c r="E346">
        <v>323</v>
      </c>
      <c r="F346" t="s">
        <v>5</v>
      </c>
      <c r="H346" t="s">
        <v>11</v>
      </c>
      <c r="I346">
        <f t="shared" ca="1" si="79"/>
        <v>0.76649109113785518</v>
      </c>
      <c r="K346" t="str">
        <f t="shared" si="75"/>
        <v>Liverpool</v>
      </c>
      <c r="L346">
        <f t="shared" ca="1" si="76"/>
        <v>0</v>
      </c>
      <c r="M346" t="str">
        <f t="shared" si="77"/>
        <v>Crystal Palace</v>
      </c>
      <c r="N346">
        <f t="shared" ca="1" si="66"/>
        <v>1</v>
      </c>
      <c r="O346" t="str">
        <f t="shared" ca="1" si="67"/>
        <v>Crystal Palace</v>
      </c>
      <c r="P346" t="str">
        <f t="shared" ca="1" si="68"/>
        <v>Liverpool</v>
      </c>
      <c r="Q346" t="str">
        <f t="shared" ca="1" si="69"/>
        <v>Not Draw</v>
      </c>
      <c r="R346" t="str">
        <f t="shared" ca="1" si="70"/>
        <v>Not Draw</v>
      </c>
    </row>
    <row r="347" spans="5:18" x14ac:dyDescent="0.3">
      <c r="E347">
        <v>324</v>
      </c>
      <c r="F347" t="s">
        <v>2</v>
      </c>
      <c r="H347" t="s">
        <v>10</v>
      </c>
      <c r="I347">
        <f t="shared" ca="1" si="79"/>
        <v>0.61909404008497027</v>
      </c>
      <c r="K347" t="str">
        <f t="shared" si="75"/>
        <v>Chelsea</v>
      </c>
      <c r="L347">
        <f t="shared" ca="1" si="76"/>
        <v>0</v>
      </c>
      <c r="M347" t="str">
        <f t="shared" si="77"/>
        <v>Brighton</v>
      </c>
      <c r="N347">
        <f t="shared" ca="1" si="66"/>
        <v>0</v>
      </c>
      <c r="O347" t="str">
        <f t="shared" ca="1" si="67"/>
        <v>Draw</v>
      </c>
      <c r="P347" t="str">
        <f t="shared" ca="1" si="68"/>
        <v>Draw</v>
      </c>
      <c r="Q347" t="str">
        <f t="shared" ca="1" si="69"/>
        <v>Chelsea</v>
      </c>
      <c r="R347" t="str">
        <f t="shared" ca="1" si="70"/>
        <v>Brighton</v>
      </c>
    </row>
    <row r="348" spans="5:18" x14ac:dyDescent="0.3">
      <c r="E348">
        <v>325</v>
      </c>
      <c r="F348" t="s">
        <v>4</v>
      </c>
      <c r="H348" t="s">
        <v>23</v>
      </c>
      <c r="I348">
        <f t="shared" ca="1" si="79"/>
        <v>0.4174717980574999</v>
      </c>
      <c r="K348" t="str">
        <f t="shared" si="75"/>
        <v>Tottenham Hotspur</v>
      </c>
      <c r="L348">
        <f t="shared" ca="1" si="76"/>
        <v>2</v>
      </c>
      <c r="M348" t="str">
        <f t="shared" si="77"/>
        <v>Newcastle</v>
      </c>
      <c r="N348">
        <f t="shared" ca="1" si="66"/>
        <v>0</v>
      </c>
      <c r="O348" t="str">
        <f t="shared" ca="1" si="67"/>
        <v>Tottenham Hotspur</v>
      </c>
      <c r="P348" t="str">
        <f t="shared" ca="1" si="68"/>
        <v>Newcastle</v>
      </c>
      <c r="Q348" t="str">
        <f t="shared" ca="1" si="69"/>
        <v>Not Draw</v>
      </c>
      <c r="R348" t="str">
        <f t="shared" ca="1" si="70"/>
        <v>Not Draw</v>
      </c>
    </row>
    <row r="349" spans="5:18" x14ac:dyDescent="0.3">
      <c r="E349">
        <v>326</v>
      </c>
      <c r="F349" t="s">
        <v>8</v>
      </c>
      <c r="H349" t="s">
        <v>9</v>
      </c>
      <c r="I349">
        <f t="shared" ca="1" si="79"/>
        <v>0.52248699987720493</v>
      </c>
      <c r="K349" t="str">
        <f t="shared" si="75"/>
        <v>Watford</v>
      </c>
      <c r="L349">
        <f t="shared" ca="1" si="76"/>
        <v>3</v>
      </c>
      <c r="M349" t="str">
        <f t="shared" si="77"/>
        <v>Bournemouth</v>
      </c>
      <c r="N349">
        <f t="shared" ref="N349:N412" ca="1" si="80">MAX(0,(VLOOKUP(RAND(),$S$2:$T$9,2,1)+(IF(RAND()+((VLOOKUP(M349,$B$23:$C$42,2,1)-VLOOKUP(K349,$B$23:$C$42,2,1))/2)&gt;0.95,1,0)+(IF(RAND()+((VLOOKUP(M349,$B$23:$C$42,2,1)-VLOOKUP(K349,$B$23:$C$42,2,1))/2)&lt;0,-1,0)))))</f>
        <v>4</v>
      </c>
      <c r="O349" t="str">
        <f t="shared" ref="O349:O412" ca="1" si="81">IF(L349=N349,"Draw",IF(L349&gt;N349,K349,M349))</f>
        <v>Bournemouth</v>
      </c>
      <c r="P349" t="str">
        <f t="shared" ref="P349:P412" ca="1" si="82">IF(O349="Draw","Draw",IF(O349=K349,M349,K349))</f>
        <v>Watford</v>
      </c>
      <c r="Q349" t="str">
        <f t="shared" ref="Q349:Q412" ca="1" si="83">IF(L349=N349,K349,"Not Draw")</f>
        <v>Not Draw</v>
      </c>
      <c r="R349" t="str">
        <f t="shared" ref="R349:R412" ca="1" si="84">IF(L349=N349,M349,"Not Draw")</f>
        <v>Not Draw</v>
      </c>
    </row>
    <row r="350" spans="5:18" x14ac:dyDescent="0.3">
      <c r="E350">
        <v>327</v>
      </c>
      <c r="F350" t="s">
        <v>14</v>
      </c>
      <c r="H350" t="s">
        <v>17</v>
      </c>
      <c r="I350">
        <f t="shared" ca="1" si="79"/>
        <v>0.92704842878451865</v>
      </c>
      <c r="K350" t="str">
        <f t="shared" si="75"/>
        <v>Huddersfield</v>
      </c>
      <c r="L350">
        <f t="shared" ca="1" si="76"/>
        <v>1</v>
      </c>
      <c r="M350" t="str">
        <f t="shared" si="77"/>
        <v>Stoke City</v>
      </c>
      <c r="N350">
        <f t="shared" ca="1" si="80"/>
        <v>2</v>
      </c>
      <c r="O350" t="str">
        <f t="shared" ca="1" si="81"/>
        <v>Stoke City</v>
      </c>
      <c r="P350" t="str">
        <f t="shared" ca="1" si="82"/>
        <v>Huddersfield</v>
      </c>
      <c r="Q350" t="str">
        <f t="shared" ca="1" si="83"/>
        <v>Not Draw</v>
      </c>
      <c r="R350" t="str">
        <f t="shared" ca="1" si="84"/>
        <v>Not Draw</v>
      </c>
    </row>
    <row r="351" spans="5:18" x14ac:dyDescent="0.3">
      <c r="E351">
        <v>328</v>
      </c>
      <c r="F351" t="s">
        <v>15</v>
      </c>
      <c r="H351" t="s">
        <v>7</v>
      </c>
      <c r="I351">
        <f t="shared" ca="1" si="79"/>
        <v>5.5531890090545266E-2</v>
      </c>
      <c r="K351" t="str">
        <f t="shared" si="75"/>
        <v>West Bromwich</v>
      </c>
      <c r="L351">
        <f t="shared" ca="1" si="76"/>
        <v>2</v>
      </c>
      <c r="M351" t="str">
        <f t="shared" si="77"/>
        <v>Burnley</v>
      </c>
      <c r="N351">
        <f t="shared" ca="1" si="80"/>
        <v>1</v>
      </c>
      <c r="O351" t="str">
        <f t="shared" ca="1" si="81"/>
        <v>West Bromwich</v>
      </c>
      <c r="P351" t="str">
        <f t="shared" ca="1" si="82"/>
        <v>Burnley</v>
      </c>
      <c r="Q351" t="str">
        <f t="shared" ca="1" si="83"/>
        <v>Not Draw</v>
      </c>
      <c r="R351" t="str">
        <f t="shared" ca="1" si="84"/>
        <v>Not Draw</v>
      </c>
    </row>
    <row r="352" spans="5:18" x14ac:dyDescent="0.3">
      <c r="E352">
        <v>329</v>
      </c>
      <c r="F352" t="s">
        <v>18</v>
      </c>
      <c r="H352" t="s">
        <v>16</v>
      </c>
      <c r="I352">
        <f t="shared" ca="1" si="79"/>
        <v>0.42077104426040601</v>
      </c>
      <c r="K352" t="str">
        <f t="shared" si="75"/>
        <v>Leicester City</v>
      </c>
      <c r="L352">
        <f t="shared" ca="1" si="76"/>
        <v>4</v>
      </c>
      <c r="M352" t="str">
        <f t="shared" si="77"/>
        <v>West Ham United</v>
      </c>
      <c r="N352">
        <f t="shared" ca="1" si="80"/>
        <v>4</v>
      </c>
      <c r="O352" t="str">
        <f t="shared" ca="1" si="81"/>
        <v>Draw</v>
      </c>
      <c r="P352" t="str">
        <f t="shared" ca="1" si="82"/>
        <v>Draw</v>
      </c>
      <c r="Q352" t="str">
        <f t="shared" ca="1" si="83"/>
        <v>Leicester City</v>
      </c>
      <c r="R352" t="str">
        <f t="shared" ca="1" si="84"/>
        <v>West Ham United</v>
      </c>
    </row>
    <row r="353" spans="5:18" x14ac:dyDescent="0.3">
      <c r="F353">
        <v>33</v>
      </c>
      <c r="K353">
        <f t="shared" si="75"/>
        <v>33</v>
      </c>
      <c r="L353" t="e">
        <f t="shared" ca="1" si="76"/>
        <v>#N/A</v>
      </c>
      <c r="M353">
        <f t="shared" si="77"/>
        <v>0</v>
      </c>
      <c r="N353" t="e">
        <f t="shared" ca="1" si="80"/>
        <v>#N/A</v>
      </c>
      <c r="O353" t="e">
        <f t="shared" ca="1" si="81"/>
        <v>#N/A</v>
      </c>
      <c r="P353" t="e">
        <f t="shared" ca="1" si="82"/>
        <v>#N/A</v>
      </c>
      <c r="Q353" t="e">
        <f t="shared" ca="1" si="83"/>
        <v>#N/A</v>
      </c>
      <c r="R353" t="e">
        <f t="shared" ca="1" si="84"/>
        <v>#N/A</v>
      </c>
    </row>
    <row r="354" spans="5:18" x14ac:dyDescent="0.3">
      <c r="E354">
        <v>330</v>
      </c>
      <c r="F354" t="s">
        <v>0</v>
      </c>
      <c r="H354" t="s">
        <v>2</v>
      </c>
      <c r="I354">
        <f t="shared" ref="I354:I363" ca="1" si="85">IF(F354="No Team",-1,RAND())</f>
        <v>0.84971311520392279</v>
      </c>
      <c r="K354" t="str">
        <f t="shared" si="75"/>
        <v>Manchester City</v>
      </c>
      <c r="L354">
        <f t="shared" ca="1" si="76"/>
        <v>1</v>
      </c>
      <c r="M354" t="str">
        <f t="shared" si="77"/>
        <v>Chelsea</v>
      </c>
      <c r="N354">
        <f t="shared" ca="1" si="80"/>
        <v>1</v>
      </c>
      <c r="O354" t="str">
        <f t="shared" ca="1" si="81"/>
        <v>Draw</v>
      </c>
      <c r="P354" t="str">
        <f t="shared" ca="1" si="82"/>
        <v>Draw</v>
      </c>
      <c r="Q354" t="str">
        <f t="shared" ca="1" si="83"/>
        <v>Manchester City</v>
      </c>
      <c r="R354" t="str">
        <f t="shared" ca="1" si="84"/>
        <v>Chelsea</v>
      </c>
    </row>
    <row r="355" spans="5:18" x14ac:dyDescent="0.3">
      <c r="E355">
        <v>331</v>
      </c>
      <c r="F355" t="s">
        <v>16</v>
      </c>
      <c r="H355" t="s">
        <v>15</v>
      </c>
      <c r="I355">
        <f t="shared" ca="1" si="85"/>
        <v>0.17678953710268053</v>
      </c>
      <c r="K355" t="str">
        <f t="shared" si="75"/>
        <v>West Ham United</v>
      </c>
      <c r="L355">
        <f t="shared" ca="1" si="76"/>
        <v>1</v>
      </c>
      <c r="M355" t="str">
        <f t="shared" si="77"/>
        <v>West Bromwich</v>
      </c>
      <c r="N355">
        <f t="shared" ca="1" si="80"/>
        <v>4</v>
      </c>
      <c r="O355" t="str">
        <f t="shared" ca="1" si="81"/>
        <v>West Bromwich</v>
      </c>
      <c r="P355" t="str">
        <f t="shared" ca="1" si="82"/>
        <v>West Ham United</v>
      </c>
      <c r="Q355" t="str">
        <f t="shared" ca="1" si="83"/>
        <v>Not Draw</v>
      </c>
      <c r="R355" t="str">
        <f t="shared" ca="1" si="84"/>
        <v>Not Draw</v>
      </c>
    </row>
    <row r="356" spans="5:18" x14ac:dyDescent="0.3">
      <c r="E356">
        <v>332</v>
      </c>
      <c r="F356" t="s">
        <v>3</v>
      </c>
      <c r="H356" t="s">
        <v>18</v>
      </c>
      <c r="I356">
        <f t="shared" ca="1" si="85"/>
        <v>0.44907456406213153</v>
      </c>
      <c r="K356" t="str">
        <f t="shared" si="75"/>
        <v>Arsenal</v>
      </c>
      <c r="L356">
        <f t="shared" ca="1" si="76"/>
        <v>5</v>
      </c>
      <c r="M356" t="str">
        <f t="shared" si="77"/>
        <v>Leicester City</v>
      </c>
      <c r="N356">
        <f t="shared" ca="1" si="80"/>
        <v>0</v>
      </c>
      <c r="O356" t="str">
        <f t="shared" ca="1" si="81"/>
        <v>Arsenal</v>
      </c>
      <c r="P356" t="str">
        <f t="shared" ca="1" si="82"/>
        <v>Leicester City</v>
      </c>
      <c r="Q356" t="str">
        <f t="shared" ca="1" si="83"/>
        <v>Not Draw</v>
      </c>
      <c r="R356" t="str">
        <f t="shared" ca="1" si="84"/>
        <v>Not Draw</v>
      </c>
    </row>
    <row r="357" spans="5:18" x14ac:dyDescent="0.3">
      <c r="E357">
        <v>333</v>
      </c>
      <c r="F357" t="s">
        <v>12</v>
      </c>
      <c r="H357" t="s">
        <v>4</v>
      </c>
      <c r="I357">
        <f t="shared" ca="1" si="85"/>
        <v>0.20054734366801774</v>
      </c>
      <c r="K357" t="str">
        <f t="shared" si="75"/>
        <v>Southampton</v>
      </c>
      <c r="L357">
        <f t="shared" ca="1" si="76"/>
        <v>2</v>
      </c>
      <c r="M357" t="str">
        <f t="shared" si="77"/>
        <v>Tottenham Hotspur</v>
      </c>
      <c r="N357">
        <f t="shared" ca="1" si="80"/>
        <v>0</v>
      </c>
      <c r="O357" t="str">
        <f t="shared" ca="1" si="81"/>
        <v>Southampton</v>
      </c>
      <c r="P357" t="str">
        <f t="shared" ca="1" si="82"/>
        <v>Tottenham Hotspur</v>
      </c>
      <c r="Q357" t="str">
        <f t="shared" ca="1" si="83"/>
        <v>Not Draw</v>
      </c>
      <c r="R357" t="str">
        <f t="shared" ca="1" si="84"/>
        <v>Not Draw</v>
      </c>
    </row>
    <row r="358" spans="5:18" x14ac:dyDescent="0.3">
      <c r="E358">
        <v>334</v>
      </c>
      <c r="F358" t="s">
        <v>11</v>
      </c>
      <c r="H358" t="s">
        <v>8</v>
      </c>
      <c r="I358">
        <f t="shared" ca="1" si="85"/>
        <v>0.15385719707150158</v>
      </c>
      <c r="K358" t="str">
        <f t="shared" si="75"/>
        <v>Crystal Palace</v>
      </c>
      <c r="L358">
        <f t="shared" ca="1" si="76"/>
        <v>0</v>
      </c>
      <c r="M358" t="str">
        <f t="shared" si="77"/>
        <v>Watford</v>
      </c>
      <c r="N358">
        <f t="shared" ca="1" si="80"/>
        <v>0</v>
      </c>
      <c r="O358" t="str">
        <f t="shared" ca="1" si="81"/>
        <v>Draw</v>
      </c>
      <c r="P358" t="str">
        <f t="shared" ca="1" si="82"/>
        <v>Draw</v>
      </c>
      <c r="Q358" t="str">
        <f t="shared" ca="1" si="83"/>
        <v>Crystal Palace</v>
      </c>
      <c r="R358" t="str">
        <f t="shared" ca="1" si="84"/>
        <v>Watford</v>
      </c>
    </row>
    <row r="359" spans="5:18" x14ac:dyDescent="0.3">
      <c r="E359">
        <v>335</v>
      </c>
      <c r="F359" t="s">
        <v>17</v>
      </c>
      <c r="H359" t="s">
        <v>1</v>
      </c>
      <c r="I359">
        <f t="shared" ca="1" si="85"/>
        <v>0.38370301642440463</v>
      </c>
      <c r="K359" t="str">
        <f t="shared" si="75"/>
        <v>Stoke City</v>
      </c>
      <c r="L359">
        <f t="shared" ca="1" si="76"/>
        <v>0</v>
      </c>
      <c r="M359" t="str">
        <f t="shared" si="77"/>
        <v>Manchester United</v>
      </c>
      <c r="N359">
        <f t="shared" ca="1" si="80"/>
        <v>1</v>
      </c>
      <c r="O359" t="str">
        <f t="shared" ca="1" si="81"/>
        <v>Manchester United</v>
      </c>
      <c r="P359" t="str">
        <f t="shared" ca="1" si="82"/>
        <v>Stoke City</v>
      </c>
      <c r="Q359" t="str">
        <f t="shared" ca="1" si="83"/>
        <v>Not Draw</v>
      </c>
      <c r="R359" t="str">
        <f t="shared" ca="1" si="84"/>
        <v>Not Draw</v>
      </c>
    </row>
    <row r="360" spans="5:18" x14ac:dyDescent="0.3">
      <c r="E360">
        <v>336</v>
      </c>
      <c r="F360" t="s">
        <v>9</v>
      </c>
      <c r="H360" t="s">
        <v>14</v>
      </c>
      <c r="I360">
        <f t="shared" ca="1" si="85"/>
        <v>0.22401679857862145</v>
      </c>
      <c r="K360" t="str">
        <f t="shared" si="75"/>
        <v>Bournemouth</v>
      </c>
      <c r="L360">
        <f t="shared" ca="1" si="76"/>
        <v>4</v>
      </c>
      <c r="M360" t="str">
        <f t="shared" si="77"/>
        <v>Huddersfield</v>
      </c>
      <c r="N360">
        <f t="shared" ca="1" si="80"/>
        <v>4</v>
      </c>
      <c r="O360" t="str">
        <f t="shared" ca="1" si="81"/>
        <v>Draw</v>
      </c>
      <c r="P360" t="str">
        <f t="shared" ca="1" si="82"/>
        <v>Draw</v>
      </c>
      <c r="Q360" t="str">
        <f t="shared" ca="1" si="83"/>
        <v>Bournemouth</v>
      </c>
      <c r="R360" t="str">
        <f t="shared" ca="1" si="84"/>
        <v>Huddersfield</v>
      </c>
    </row>
    <row r="361" spans="5:18" x14ac:dyDescent="0.3">
      <c r="E361">
        <v>337</v>
      </c>
      <c r="F361" t="s">
        <v>7</v>
      </c>
      <c r="H361" t="s">
        <v>13</v>
      </c>
      <c r="I361">
        <f t="shared" ca="1" si="85"/>
        <v>0.43955645058771853</v>
      </c>
      <c r="K361" t="str">
        <f t="shared" si="75"/>
        <v>Burnley</v>
      </c>
      <c r="L361">
        <f t="shared" ca="1" si="76"/>
        <v>0</v>
      </c>
      <c r="M361" t="str">
        <f t="shared" si="77"/>
        <v>Swansea City</v>
      </c>
      <c r="N361">
        <f t="shared" ca="1" si="80"/>
        <v>2</v>
      </c>
      <c r="O361" t="str">
        <f t="shared" ca="1" si="81"/>
        <v>Swansea City</v>
      </c>
      <c r="P361" t="str">
        <f t="shared" ca="1" si="82"/>
        <v>Burnley</v>
      </c>
      <c r="Q361" t="str">
        <f t="shared" ca="1" si="83"/>
        <v>Not Draw</v>
      </c>
      <c r="R361" t="str">
        <f t="shared" ca="1" si="84"/>
        <v>Not Draw</v>
      </c>
    </row>
    <row r="362" spans="5:18" x14ac:dyDescent="0.3">
      <c r="E362">
        <v>338</v>
      </c>
      <c r="F362" t="s">
        <v>23</v>
      </c>
      <c r="H362" t="s">
        <v>5</v>
      </c>
      <c r="I362">
        <f t="shared" ca="1" si="85"/>
        <v>0.21510471077725524</v>
      </c>
      <c r="K362" t="str">
        <f t="shared" si="75"/>
        <v>Newcastle</v>
      </c>
      <c r="L362">
        <f t="shared" ca="1" si="76"/>
        <v>2</v>
      </c>
      <c r="M362" t="str">
        <f t="shared" si="77"/>
        <v>Liverpool</v>
      </c>
      <c r="N362">
        <f t="shared" ca="1" si="80"/>
        <v>0</v>
      </c>
      <c r="O362" t="str">
        <f t="shared" ca="1" si="81"/>
        <v>Newcastle</v>
      </c>
      <c r="P362" t="str">
        <f t="shared" ca="1" si="82"/>
        <v>Liverpool</v>
      </c>
      <c r="Q362" t="str">
        <f t="shared" ca="1" si="83"/>
        <v>Not Draw</v>
      </c>
      <c r="R362" t="str">
        <f t="shared" ca="1" si="84"/>
        <v>Not Draw</v>
      </c>
    </row>
    <row r="363" spans="5:18" x14ac:dyDescent="0.3">
      <c r="E363">
        <v>339</v>
      </c>
      <c r="F363" t="s">
        <v>10</v>
      </c>
      <c r="H363" t="s">
        <v>6</v>
      </c>
      <c r="I363">
        <f t="shared" ca="1" si="85"/>
        <v>0.30484402943347133</v>
      </c>
      <c r="K363" t="str">
        <f t="shared" si="75"/>
        <v>Brighton</v>
      </c>
      <c r="L363">
        <f t="shared" ca="1" si="76"/>
        <v>3</v>
      </c>
      <c r="M363" t="str">
        <f t="shared" si="77"/>
        <v>Everton</v>
      </c>
      <c r="N363">
        <f t="shared" ca="1" si="80"/>
        <v>5</v>
      </c>
      <c r="O363" t="str">
        <f t="shared" ca="1" si="81"/>
        <v>Everton</v>
      </c>
      <c r="P363" t="str">
        <f t="shared" ca="1" si="82"/>
        <v>Brighton</v>
      </c>
      <c r="Q363" t="str">
        <f t="shared" ca="1" si="83"/>
        <v>Not Draw</v>
      </c>
      <c r="R363" t="str">
        <f t="shared" ca="1" si="84"/>
        <v>Not Draw</v>
      </c>
    </row>
    <row r="364" spans="5:18" x14ac:dyDescent="0.3">
      <c r="F364">
        <v>34</v>
      </c>
      <c r="K364">
        <f t="shared" si="75"/>
        <v>34</v>
      </c>
      <c r="L364" t="e">
        <f t="shared" ca="1" si="76"/>
        <v>#N/A</v>
      </c>
      <c r="M364">
        <f t="shared" si="77"/>
        <v>0</v>
      </c>
      <c r="N364" t="e">
        <f t="shared" ca="1" si="80"/>
        <v>#N/A</v>
      </c>
      <c r="O364" t="e">
        <f t="shared" ca="1" si="81"/>
        <v>#N/A</v>
      </c>
      <c r="P364" t="e">
        <f t="shared" ca="1" si="82"/>
        <v>#N/A</v>
      </c>
      <c r="Q364" t="e">
        <f t="shared" ca="1" si="83"/>
        <v>#N/A</v>
      </c>
      <c r="R364" t="e">
        <f t="shared" ca="1" si="84"/>
        <v>#N/A</v>
      </c>
    </row>
    <row r="365" spans="5:18" x14ac:dyDescent="0.3">
      <c r="E365">
        <v>340</v>
      </c>
      <c r="F365" t="s">
        <v>2</v>
      </c>
      <c r="H365" t="s">
        <v>7</v>
      </c>
      <c r="I365">
        <f t="shared" ref="I365:I374" ca="1" si="86">IF(F365="No Team",-1,RAND())</f>
        <v>0.69328115199648144</v>
      </c>
      <c r="K365" t="str">
        <f t="shared" si="75"/>
        <v>Chelsea</v>
      </c>
      <c r="L365">
        <f t="shared" ca="1" si="76"/>
        <v>2</v>
      </c>
      <c r="M365" t="str">
        <f t="shared" si="77"/>
        <v>Burnley</v>
      </c>
      <c r="N365">
        <f t="shared" ca="1" si="80"/>
        <v>1</v>
      </c>
      <c r="O365" t="str">
        <f t="shared" ca="1" si="81"/>
        <v>Chelsea</v>
      </c>
      <c r="P365" t="str">
        <f t="shared" ca="1" si="82"/>
        <v>Burnley</v>
      </c>
      <c r="Q365" t="str">
        <f t="shared" ca="1" si="83"/>
        <v>Not Draw</v>
      </c>
      <c r="R365" t="str">
        <f t="shared" ca="1" si="84"/>
        <v>Not Draw</v>
      </c>
    </row>
    <row r="366" spans="5:18" x14ac:dyDescent="0.3">
      <c r="E366">
        <v>341</v>
      </c>
      <c r="F366" t="s">
        <v>13</v>
      </c>
      <c r="H366" t="s">
        <v>16</v>
      </c>
      <c r="I366">
        <f t="shared" ca="1" si="86"/>
        <v>7.6638221950661611E-2</v>
      </c>
      <c r="K366" t="str">
        <f t="shared" si="75"/>
        <v>Swansea City</v>
      </c>
      <c r="L366">
        <f t="shared" ca="1" si="76"/>
        <v>4</v>
      </c>
      <c r="M366" t="str">
        <f t="shared" si="77"/>
        <v>West Ham United</v>
      </c>
      <c r="N366">
        <f t="shared" ca="1" si="80"/>
        <v>0</v>
      </c>
      <c r="O366" t="str">
        <f t="shared" ca="1" si="81"/>
        <v>Swansea City</v>
      </c>
      <c r="P366" t="str">
        <f t="shared" ca="1" si="82"/>
        <v>West Ham United</v>
      </c>
      <c r="Q366" t="str">
        <f t="shared" ca="1" si="83"/>
        <v>Not Draw</v>
      </c>
      <c r="R366" t="str">
        <f t="shared" ca="1" si="84"/>
        <v>Not Draw</v>
      </c>
    </row>
    <row r="367" spans="5:18" x14ac:dyDescent="0.3">
      <c r="E367">
        <v>342</v>
      </c>
      <c r="F367" t="s">
        <v>6</v>
      </c>
      <c r="H367" t="s">
        <v>0</v>
      </c>
      <c r="I367">
        <f t="shared" ca="1" si="86"/>
        <v>1.2976350033220396E-2</v>
      </c>
      <c r="K367" t="str">
        <f t="shared" si="75"/>
        <v>Everton</v>
      </c>
      <c r="L367">
        <f t="shared" ca="1" si="76"/>
        <v>4</v>
      </c>
      <c r="M367" t="str">
        <f t="shared" si="77"/>
        <v>Manchester City</v>
      </c>
      <c r="N367">
        <f t="shared" ca="1" si="80"/>
        <v>2</v>
      </c>
      <c r="O367" t="str">
        <f t="shared" ca="1" si="81"/>
        <v>Everton</v>
      </c>
      <c r="P367" t="str">
        <f t="shared" ca="1" si="82"/>
        <v>Manchester City</v>
      </c>
      <c r="Q367" t="str">
        <f t="shared" ca="1" si="83"/>
        <v>Not Draw</v>
      </c>
      <c r="R367" t="str">
        <f t="shared" ca="1" si="84"/>
        <v>Not Draw</v>
      </c>
    </row>
    <row r="368" spans="5:18" x14ac:dyDescent="0.3">
      <c r="E368">
        <v>343</v>
      </c>
      <c r="F368" t="s">
        <v>15</v>
      </c>
      <c r="H368" t="s">
        <v>3</v>
      </c>
      <c r="I368">
        <f t="shared" ca="1" si="86"/>
        <v>0.32697792524605584</v>
      </c>
      <c r="K368" t="str">
        <f t="shared" si="75"/>
        <v>West Bromwich</v>
      </c>
      <c r="L368">
        <f t="shared" ca="1" si="76"/>
        <v>0</v>
      </c>
      <c r="M368" t="str">
        <f t="shared" si="77"/>
        <v>Arsenal</v>
      </c>
      <c r="N368">
        <f t="shared" ca="1" si="80"/>
        <v>0</v>
      </c>
      <c r="O368" t="str">
        <f t="shared" ca="1" si="81"/>
        <v>Draw</v>
      </c>
      <c r="P368" t="str">
        <f t="shared" ca="1" si="82"/>
        <v>Draw</v>
      </c>
      <c r="Q368" t="str">
        <f t="shared" ca="1" si="83"/>
        <v>West Bromwich</v>
      </c>
      <c r="R368" t="str">
        <f t="shared" ca="1" si="84"/>
        <v>Arsenal</v>
      </c>
    </row>
    <row r="369" spans="5:18" x14ac:dyDescent="0.3">
      <c r="E369">
        <v>344</v>
      </c>
      <c r="F369" t="s">
        <v>14</v>
      </c>
      <c r="H369" t="s">
        <v>11</v>
      </c>
      <c r="I369">
        <f t="shared" ca="1" si="86"/>
        <v>0.9235469438765479</v>
      </c>
      <c r="K369" t="str">
        <f t="shared" si="75"/>
        <v>Huddersfield</v>
      </c>
      <c r="L369">
        <f t="shared" ca="1" si="76"/>
        <v>4</v>
      </c>
      <c r="M369" t="str">
        <f t="shared" si="77"/>
        <v>Crystal Palace</v>
      </c>
      <c r="N369">
        <f t="shared" ca="1" si="80"/>
        <v>1</v>
      </c>
      <c r="O369" t="str">
        <f t="shared" ca="1" si="81"/>
        <v>Huddersfield</v>
      </c>
      <c r="P369" t="str">
        <f t="shared" ca="1" si="82"/>
        <v>Crystal Palace</v>
      </c>
      <c r="Q369" t="str">
        <f t="shared" ca="1" si="83"/>
        <v>Not Draw</v>
      </c>
      <c r="R369" t="str">
        <f t="shared" ca="1" si="84"/>
        <v>Not Draw</v>
      </c>
    </row>
    <row r="370" spans="5:18" x14ac:dyDescent="0.3">
      <c r="E370">
        <v>345</v>
      </c>
      <c r="F370" t="s">
        <v>1</v>
      </c>
      <c r="H370" t="s">
        <v>9</v>
      </c>
      <c r="I370">
        <f t="shared" ca="1" si="86"/>
        <v>0.43822145674673185</v>
      </c>
      <c r="K370" t="str">
        <f t="shared" si="75"/>
        <v>Manchester United</v>
      </c>
      <c r="L370">
        <f t="shared" ca="1" si="76"/>
        <v>1</v>
      </c>
      <c r="M370" t="str">
        <f t="shared" si="77"/>
        <v>Bournemouth</v>
      </c>
      <c r="N370">
        <f t="shared" ca="1" si="80"/>
        <v>2</v>
      </c>
      <c r="O370" t="str">
        <f t="shared" ca="1" si="81"/>
        <v>Bournemouth</v>
      </c>
      <c r="P370" t="str">
        <f t="shared" ca="1" si="82"/>
        <v>Manchester United</v>
      </c>
      <c r="Q370" t="str">
        <f t="shared" ca="1" si="83"/>
        <v>Not Draw</v>
      </c>
      <c r="R370" t="str">
        <f t="shared" ca="1" si="84"/>
        <v>Not Draw</v>
      </c>
    </row>
    <row r="371" spans="5:18" x14ac:dyDescent="0.3">
      <c r="E371">
        <v>346</v>
      </c>
      <c r="F371" t="s">
        <v>18</v>
      </c>
      <c r="H371" t="s">
        <v>10</v>
      </c>
      <c r="I371">
        <f t="shared" ca="1" si="86"/>
        <v>0.2445936137633723</v>
      </c>
      <c r="K371" t="str">
        <f t="shared" si="75"/>
        <v>Leicester City</v>
      </c>
      <c r="L371">
        <f t="shared" ca="1" si="76"/>
        <v>5</v>
      </c>
      <c r="M371" t="str">
        <f t="shared" si="77"/>
        <v>Brighton</v>
      </c>
      <c r="N371">
        <f t="shared" ca="1" si="80"/>
        <v>0</v>
      </c>
      <c r="O371" t="str">
        <f t="shared" ca="1" si="81"/>
        <v>Leicester City</v>
      </c>
      <c r="P371" t="str">
        <f t="shared" ca="1" si="82"/>
        <v>Brighton</v>
      </c>
      <c r="Q371" t="str">
        <f t="shared" ca="1" si="83"/>
        <v>Not Draw</v>
      </c>
      <c r="R371" t="str">
        <f t="shared" ca="1" si="84"/>
        <v>Not Draw</v>
      </c>
    </row>
    <row r="372" spans="5:18" x14ac:dyDescent="0.3">
      <c r="E372">
        <v>347</v>
      </c>
      <c r="F372" t="s">
        <v>8</v>
      </c>
      <c r="H372" t="s">
        <v>23</v>
      </c>
      <c r="I372">
        <f t="shared" ca="1" si="86"/>
        <v>0.76528447838440405</v>
      </c>
      <c r="K372" t="str">
        <f t="shared" si="75"/>
        <v>Watford</v>
      </c>
      <c r="L372">
        <f t="shared" ca="1" si="76"/>
        <v>0</v>
      </c>
      <c r="M372" t="str">
        <f t="shared" si="77"/>
        <v>Newcastle</v>
      </c>
      <c r="N372">
        <f t="shared" ca="1" si="80"/>
        <v>0</v>
      </c>
      <c r="O372" t="str">
        <f t="shared" ca="1" si="81"/>
        <v>Draw</v>
      </c>
      <c r="P372" t="str">
        <f t="shared" ca="1" si="82"/>
        <v>Draw</v>
      </c>
      <c r="Q372" t="str">
        <f t="shared" ca="1" si="83"/>
        <v>Watford</v>
      </c>
      <c r="R372" t="str">
        <f t="shared" ca="1" si="84"/>
        <v>Newcastle</v>
      </c>
    </row>
    <row r="373" spans="5:18" x14ac:dyDescent="0.3">
      <c r="E373">
        <v>348</v>
      </c>
      <c r="F373" t="s">
        <v>5</v>
      </c>
      <c r="H373" t="s">
        <v>12</v>
      </c>
      <c r="I373">
        <f t="shared" ca="1" si="86"/>
        <v>0.98319749155436531</v>
      </c>
      <c r="K373" t="str">
        <f t="shared" si="75"/>
        <v>Liverpool</v>
      </c>
      <c r="L373">
        <f t="shared" ca="1" si="76"/>
        <v>2</v>
      </c>
      <c r="M373" t="str">
        <f t="shared" si="77"/>
        <v>Southampton</v>
      </c>
      <c r="N373">
        <f t="shared" ca="1" si="80"/>
        <v>0</v>
      </c>
      <c r="O373" t="str">
        <f t="shared" ca="1" si="81"/>
        <v>Liverpool</v>
      </c>
      <c r="P373" t="str">
        <f t="shared" ca="1" si="82"/>
        <v>Southampton</v>
      </c>
      <c r="Q373" t="str">
        <f t="shared" ca="1" si="83"/>
        <v>Not Draw</v>
      </c>
      <c r="R373" t="str">
        <f t="shared" ca="1" si="84"/>
        <v>Not Draw</v>
      </c>
    </row>
    <row r="374" spans="5:18" x14ac:dyDescent="0.3">
      <c r="E374">
        <v>349</v>
      </c>
      <c r="F374" t="s">
        <v>4</v>
      </c>
      <c r="H374" t="s">
        <v>17</v>
      </c>
      <c r="I374">
        <f t="shared" ca="1" si="86"/>
        <v>0.5542570605941195</v>
      </c>
      <c r="K374" t="str">
        <f t="shared" si="75"/>
        <v>Tottenham Hotspur</v>
      </c>
      <c r="L374">
        <f t="shared" ca="1" si="76"/>
        <v>0</v>
      </c>
      <c r="M374" t="str">
        <f t="shared" si="77"/>
        <v>Stoke City</v>
      </c>
      <c r="N374">
        <f t="shared" ca="1" si="80"/>
        <v>0</v>
      </c>
      <c r="O374" t="str">
        <f t="shared" ca="1" si="81"/>
        <v>Draw</v>
      </c>
      <c r="P374" t="str">
        <f t="shared" ca="1" si="82"/>
        <v>Draw</v>
      </c>
      <c r="Q374" t="str">
        <f t="shared" ca="1" si="83"/>
        <v>Tottenham Hotspur</v>
      </c>
      <c r="R374" t="str">
        <f t="shared" ca="1" si="84"/>
        <v>Stoke City</v>
      </c>
    </row>
    <row r="375" spans="5:18" x14ac:dyDescent="0.3">
      <c r="F375">
        <v>35</v>
      </c>
      <c r="K375">
        <f t="shared" si="75"/>
        <v>35</v>
      </c>
      <c r="L375" t="e">
        <f t="shared" ca="1" si="76"/>
        <v>#N/A</v>
      </c>
      <c r="M375">
        <f t="shared" si="77"/>
        <v>0</v>
      </c>
      <c r="N375" t="e">
        <f t="shared" ca="1" si="80"/>
        <v>#N/A</v>
      </c>
      <c r="O375" t="e">
        <f t="shared" ca="1" si="81"/>
        <v>#N/A</v>
      </c>
      <c r="P375" t="e">
        <f t="shared" ca="1" si="82"/>
        <v>#N/A</v>
      </c>
      <c r="Q375" t="e">
        <f t="shared" ca="1" si="83"/>
        <v>#N/A</v>
      </c>
      <c r="R375" t="e">
        <f t="shared" ca="1" si="84"/>
        <v>#N/A</v>
      </c>
    </row>
    <row r="376" spans="5:18" x14ac:dyDescent="0.3">
      <c r="E376">
        <v>350</v>
      </c>
      <c r="F376" t="s">
        <v>5</v>
      </c>
      <c r="G376" s="1"/>
      <c r="H376" t="s">
        <v>8</v>
      </c>
      <c r="I376">
        <f t="shared" ref="I376:I385" ca="1" si="87">IF(F376="No Team",-1,RAND())</f>
        <v>0.28011307401217966</v>
      </c>
      <c r="K376" t="str">
        <f t="shared" si="75"/>
        <v>Liverpool</v>
      </c>
      <c r="L376">
        <f t="shared" ca="1" si="76"/>
        <v>0</v>
      </c>
      <c r="M376" t="str">
        <f t="shared" si="77"/>
        <v>Watford</v>
      </c>
      <c r="N376">
        <f t="shared" ca="1" si="80"/>
        <v>2</v>
      </c>
      <c r="O376" t="str">
        <f t="shared" ca="1" si="81"/>
        <v>Watford</v>
      </c>
      <c r="P376" t="str">
        <f t="shared" ca="1" si="82"/>
        <v>Liverpool</v>
      </c>
      <c r="Q376" t="str">
        <f t="shared" ca="1" si="83"/>
        <v>Not Draw</v>
      </c>
      <c r="R376" t="str">
        <f t="shared" ca="1" si="84"/>
        <v>Not Draw</v>
      </c>
    </row>
    <row r="377" spans="5:18" x14ac:dyDescent="0.3">
      <c r="E377">
        <v>351</v>
      </c>
      <c r="F377" t="s">
        <v>4</v>
      </c>
      <c r="H377" t="s">
        <v>15</v>
      </c>
      <c r="I377">
        <f t="shared" ca="1" si="87"/>
        <v>0.56541621086950933</v>
      </c>
      <c r="K377" t="str">
        <f t="shared" si="75"/>
        <v>Tottenham Hotspur</v>
      </c>
      <c r="L377">
        <f t="shared" ca="1" si="76"/>
        <v>2</v>
      </c>
      <c r="M377" t="str">
        <f t="shared" si="77"/>
        <v>West Bromwich</v>
      </c>
      <c r="N377">
        <f t="shared" ca="1" si="80"/>
        <v>2</v>
      </c>
      <c r="O377" t="str">
        <f t="shared" ca="1" si="81"/>
        <v>Draw</v>
      </c>
      <c r="P377" t="str">
        <f t="shared" ca="1" si="82"/>
        <v>Draw</v>
      </c>
      <c r="Q377" t="str">
        <f t="shared" ca="1" si="83"/>
        <v>Tottenham Hotspur</v>
      </c>
      <c r="R377" t="str">
        <f t="shared" ca="1" si="84"/>
        <v>West Bromwich</v>
      </c>
    </row>
    <row r="378" spans="5:18" x14ac:dyDescent="0.3">
      <c r="E378">
        <v>352</v>
      </c>
      <c r="F378" t="s">
        <v>13</v>
      </c>
      <c r="H378" t="s">
        <v>2</v>
      </c>
      <c r="I378">
        <f t="shared" ca="1" si="87"/>
        <v>0.3017546026215443</v>
      </c>
      <c r="K378" t="str">
        <f t="shared" si="75"/>
        <v>Swansea City</v>
      </c>
      <c r="L378">
        <f t="shared" ca="1" si="76"/>
        <v>2</v>
      </c>
      <c r="M378" t="str">
        <f t="shared" si="77"/>
        <v>Chelsea</v>
      </c>
      <c r="N378">
        <f t="shared" ca="1" si="80"/>
        <v>0</v>
      </c>
      <c r="O378" t="str">
        <f t="shared" ca="1" si="81"/>
        <v>Swansea City</v>
      </c>
      <c r="P378" t="str">
        <f t="shared" ca="1" si="82"/>
        <v>Chelsea</v>
      </c>
      <c r="Q378" t="str">
        <f t="shared" ca="1" si="83"/>
        <v>Not Draw</v>
      </c>
      <c r="R378" t="str">
        <f t="shared" ca="1" si="84"/>
        <v>Not Draw</v>
      </c>
    </row>
    <row r="379" spans="5:18" x14ac:dyDescent="0.3">
      <c r="E379">
        <v>353</v>
      </c>
      <c r="F379" t="s">
        <v>14</v>
      </c>
      <c r="H379" t="s">
        <v>1</v>
      </c>
      <c r="I379">
        <f t="shared" ca="1" si="87"/>
        <v>0.13615501839884758</v>
      </c>
      <c r="K379" t="str">
        <f t="shared" si="75"/>
        <v>Huddersfield</v>
      </c>
      <c r="L379">
        <f t="shared" ca="1" si="76"/>
        <v>0</v>
      </c>
      <c r="M379" t="str">
        <f t="shared" si="77"/>
        <v>Manchester United</v>
      </c>
      <c r="N379">
        <f t="shared" ca="1" si="80"/>
        <v>2</v>
      </c>
      <c r="O379" t="str">
        <f t="shared" ca="1" si="81"/>
        <v>Manchester United</v>
      </c>
      <c r="P379" t="str">
        <f t="shared" ca="1" si="82"/>
        <v>Huddersfield</v>
      </c>
      <c r="Q379" t="str">
        <f t="shared" ca="1" si="83"/>
        <v>Not Draw</v>
      </c>
      <c r="R379" t="str">
        <f t="shared" ca="1" si="84"/>
        <v>Not Draw</v>
      </c>
    </row>
    <row r="380" spans="5:18" x14ac:dyDescent="0.3">
      <c r="E380">
        <v>354</v>
      </c>
      <c r="F380" t="s">
        <v>7</v>
      </c>
      <c r="H380" t="s">
        <v>0</v>
      </c>
      <c r="I380">
        <f t="shared" ca="1" si="87"/>
        <v>8.8598580537189164E-2</v>
      </c>
      <c r="K380" t="str">
        <f t="shared" si="75"/>
        <v>Burnley</v>
      </c>
      <c r="L380">
        <f t="shared" ca="1" si="76"/>
        <v>1</v>
      </c>
      <c r="M380" t="str">
        <f t="shared" si="77"/>
        <v>Manchester City</v>
      </c>
      <c r="N380">
        <f t="shared" ca="1" si="80"/>
        <v>2</v>
      </c>
      <c r="O380" t="str">
        <f t="shared" ca="1" si="81"/>
        <v>Manchester City</v>
      </c>
      <c r="P380" t="str">
        <f t="shared" ca="1" si="82"/>
        <v>Burnley</v>
      </c>
      <c r="Q380" t="str">
        <f t="shared" ca="1" si="83"/>
        <v>Not Draw</v>
      </c>
      <c r="R380" t="str">
        <f t="shared" ca="1" si="84"/>
        <v>Not Draw</v>
      </c>
    </row>
    <row r="381" spans="5:18" x14ac:dyDescent="0.3">
      <c r="E381">
        <v>355</v>
      </c>
      <c r="F381" t="s">
        <v>3</v>
      </c>
      <c r="H381" t="s">
        <v>16</v>
      </c>
      <c r="I381">
        <f t="shared" ca="1" si="87"/>
        <v>0.26104208895694336</v>
      </c>
      <c r="K381" t="str">
        <f t="shared" si="75"/>
        <v>Arsenal</v>
      </c>
      <c r="L381">
        <f t="shared" ca="1" si="76"/>
        <v>0</v>
      </c>
      <c r="M381" t="str">
        <f t="shared" si="77"/>
        <v>West Ham United</v>
      </c>
      <c r="N381">
        <f t="shared" ca="1" si="80"/>
        <v>0</v>
      </c>
      <c r="O381" t="str">
        <f t="shared" ca="1" si="81"/>
        <v>Draw</v>
      </c>
      <c r="P381" t="str">
        <f t="shared" ca="1" si="82"/>
        <v>Draw</v>
      </c>
      <c r="Q381" t="str">
        <f t="shared" ca="1" si="83"/>
        <v>Arsenal</v>
      </c>
      <c r="R381" t="str">
        <f t="shared" ca="1" si="84"/>
        <v>West Ham United</v>
      </c>
    </row>
    <row r="382" spans="5:18" x14ac:dyDescent="0.3">
      <c r="E382">
        <v>356</v>
      </c>
      <c r="F382" t="s">
        <v>17</v>
      </c>
      <c r="H382" t="s">
        <v>12</v>
      </c>
      <c r="I382">
        <f t="shared" ca="1" si="87"/>
        <v>0.10433686029534384</v>
      </c>
      <c r="K382" t="str">
        <f t="shared" si="75"/>
        <v>Stoke City</v>
      </c>
      <c r="L382">
        <f t="shared" ca="1" si="76"/>
        <v>4</v>
      </c>
      <c r="M382" t="str">
        <f t="shared" si="77"/>
        <v>Southampton</v>
      </c>
      <c r="N382">
        <f t="shared" ca="1" si="80"/>
        <v>2</v>
      </c>
      <c r="O382" t="str">
        <f t="shared" ca="1" si="81"/>
        <v>Stoke City</v>
      </c>
      <c r="P382" t="str">
        <f t="shared" ca="1" si="82"/>
        <v>Southampton</v>
      </c>
      <c r="Q382" t="str">
        <f t="shared" ca="1" si="83"/>
        <v>Not Draw</v>
      </c>
      <c r="R382" t="str">
        <f t="shared" ca="1" si="84"/>
        <v>Not Draw</v>
      </c>
    </row>
    <row r="383" spans="5:18" x14ac:dyDescent="0.3">
      <c r="E383">
        <v>357</v>
      </c>
      <c r="F383" t="s">
        <v>9</v>
      </c>
      <c r="H383" t="s">
        <v>10</v>
      </c>
      <c r="I383">
        <f t="shared" ca="1" si="87"/>
        <v>0.85737757527786762</v>
      </c>
      <c r="K383" t="str">
        <f t="shared" si="75"/>
        <v>Bournemouth</v>
      </c>
      <c r="L383">
        <f t="shared" ca="1" si="76"/>
        <v>1</v>
      </c>
      <c r="M383" t="str">
        <f t="shared" si="77"/>
        <v>Brighton</v>
      </c>
      <c r="N383">
        <f t="shared" ca="1" si="80"/>
        <v>0</v>
      </c>
      <c r="O383" t="str">
        <f t="shared" ca="1" si="81"/>
        <v>Bournemouth</v>
      </c>
      <c r="P383" t="str">
        <f t="shared" ca="1" si="82"/>
        <v>Brighton</v>
      </c>
      <c r="Q383" t="str">
        <f t="shared" ca="1" si="83"/>
        <v>Not Draw</v>
      </c>
      <c r="R383" t="str">
        <f t="shared" ca="1" si="84"/>
        <v>Not Draw</v>
      </c>
    </row>
    <row r="384" spans="5:18" x14ac:dyDescent="0.3">
      <c r="E384">
        <v>358</v>
      </c>
      <c r="F384" t="s">
        <v>6</v>
      </c>
      <c r="H384" t="s">
        <v>18</v>
      </c>
      <c r="I384">
        <f t="shared" ca="1" si="87"/>
        <v>0.46620555313154655</v>
      </c>
      <c r="K384" t="str">
        <f t="shared" si="75"/>
        <v>Everton</v>
      </c>
      <c r="L384">
        <f t="shared" ca="1" si="76"/>
        <v>1</v>
      </c>
      <c r="M384" t="str">
        <f t="shared" si="77"/>
        <v>Leicester City</v>
      </c>
      <c r="N384">
        <f t="shared" ca="1" si="80"/>
        <v>0</v>
      </c>
      <c r="O384" t="str">
        <f t="shared" ca="1" si="81"/>
        <v>Everton</v>
      </c>
      <c r="P384" t="str">
        <f t="shared" ca="1" si="82"/>
        <v>Leicester City</v>
      </c>
      <c r="Q384" t="str">
        <f t="shared" ca="1" si="83"/>
        <v>Not Draw</v>
      </c>
      <c r="R384" t="str">
        <f t="shared" ca="1" si="84"/>
        <v>Not Draw</v>
      </c>
    </row>
    <row r="385" spans="5:18" x14ac:dyDescent="0.3">
      <c r="E385">
        <v>359</v>
      </c>
      <c r="F385" t="s">
        <v>23</v>
      </c>
      <c r="G385" s="1"/>
      <c r="H385" t="s">
        <v>11</v>
      </c>
      <c r="I385">
        <f t="shared" ca="1" si="87"/>
        <v>0.86108690074790106</v>
      </c>
      <c r="K385" t="str">
        <f t="shared" si="75"/>
        <v>Newcastle</v>
      </c>
      <c r="L385">
        <f t="shared" ca="1" si="76"/>
        <v>0</v>
      </c>
      <c r="M385" t="str">
        <f t="shared" si="77"/>
        <v>Crystal Palace</v>
      </c>
      <c r="N385">
        <f t="shared" ca="1" si="80"/>
        <v>2</v>
      </c>
      <c r="O385" t="str">
        <f t="shared" ca="1" si="81"/>
        <v>Crystal Palace</v>
      </c>
      <c r="P385" t="str">
        <f t="shared" ca="1" si="82"/>
        <v>Newcastle</v>
      </c>
      <c r="Q385" t="str">
        <f t="shared" ca="1" si="83"/>
        <v>Not Draw</v>
      </c>
      <c r="R385" t="str">
        <f t="shared" ca="1" si="84"/>
        <v>Not Draw</v>
      </c>
    </row>
    <row r="386" spans="5:18" x14ac:dyDescent="0.3">
      <c r="F386">
        <v>36</v>
      </c>
      <c r="K386">
        <f t="shared" si="75"/>
        <v>36</v>
      </c>
      <c r="L386" t="e">
        <f t="shared" ca="1" si="76"/>
        <v>#N/A</v>
      </c>
      <c r="M386">
        <f t="shared" si="77"/>
        <v>0</v>
      </c>
      <c r="N386" t="e">
        <f t="shared" ca="1" si="80"/>
        <v>#N/A</v>
      </c>
      <c r="O386" t="e">
        <f t="shared" ca="1" si="81"/>
        <v>#N/A</v>
      </c>
      <c r="P386" t="e">
        <f t="shared" ca="1" si="82"/>
        <v>#N/A</v>
      </c>
      <c r="Q386" t="e">
        <f t="shared" ca="1" si="83"/>
        <v>#N/A</v>
      </c>
      <c r="R386" t="e">
        <f t="shared" ca="1" si="84"/>
        <v>#N/A</v>
      </c>
    </row>
    <row r="387" spans="5:18" x14ac:dyDescent="0.3">
      <c r="E387">
        <v>360</v>
      </c>
      <c r="F387" t="s">
        <v>14</v>
      </c>
      <c r="H387" t="s">
        <v>8</v>
      </c>
      <c r="I387">
        <f t="shared" ref="I387:I396" ca="1" si="88">IF(F387="No Team",-1,RAND())</f>
        <v>4.3247915893133038E-2</v>
      </c>
      <c r="K387" t="str">
        <f t="shared" ref="K387:K429" si="89">F387</f>
        <v>Huddersfield</v>
      </c>
      <c r="L387">
        <f t="shared" ref="L387:L429" ca="1" si="90">MAX(0,(VLOOKUP(RAND(),$S$2:$T$9,2,1)+(IF(RAND()+((VLOOKUP(K387,$B$23:$C$42,2,1)-VLOOKUP(M387,$B$23:$C$42,2,1))/2)&gt;0.9,1,0)+(IF(RAND()+((VLOOKUP(K387,$B$23:$C$42,2,1)-VLOOKUP(M387,$B$23:$C$42,2,1))/2)&lt;0,-1,0)))))</f>
        <v>1</v>
      </c>
      <c r="M387" t="str">
        <f t="shared" ref="M387:M429" si="91">H387</f>
        <v>Watford</v>
      </c>
      <c r="N387">
        <f t="shared" ca="1" si="80"/>
        <v>1</v>
      </c>
      <c r="O387" t="str">
        <f t="shared" ca="1" si="81"/>
        <v>Draw</v>
      </c>
      <c r="P387" t="str">
        <f t="shared" ca="1" si="82"/>
        <v>Draw</v>
      </c>
      <c r="Q387" t="str">
        <f t="shared" ca="1" si="83"/>
        <v>Huddersfield</v>
      </c>
      <c r="R387" t="str">
        <f t="shared" ca="1" si="84"/>
        <v>Watford</v>
      </c>
    </row>
    <row r="388" spans="5:18" x14ac:dyDescent="0.3">
      <c r="E388">
        <v>361</v>
      </c>
      <c r="F388" t="s">
        <v>7</v>
      </c>
      <c r="H388" t="s">
        <v>16</v>
      </c>
      <c r="I388">
        <f t="shared" ca="1" si="88"/>
        <v>0.35548041056034219</v>
      </c>
      <c r="K388" t="str">
        <f t="shared" si="89"/>
        <v>Burnley</v>
      </c>
      <c r="L388">
        <f t="shared" ca="1" si="90"/>
        <v>3</v>
      </c>
      <c r="M388" t="str">
        <f t="shared" si="91"/>
        <v>West Ham United</v>
      </c>
      <c r="N388">
        <f t="shared" ca="1" si="80"/>
        <v>4</v>
      </c>
      <c r="O388" t="str">
        <f t="shared" ca="1" si="81"/>
        <v>West Ham United</v>
      </c>
      <c r="P388" t="str">
        <f t="shared" ca="1" si="82"/>
        <v>Burnley</v>
      </c>
      <c r="Q388" t="str">
        <f t="shared" ca="1" si="83"/>
        <v>Not Draw</v>
      </c>
      <c r="R388" t="str">
        <f t="shared" ca="1" si="84"/>
        <v>Not Draw</v>
      </c>
    </row>
    <row r="389" spans="5:18" x14ac:dyDescent="0.3">
      <c r="E389">
        <v>362</v>
      </c>
      <c r="F389" t="s">
        <v>23</v>
      </c>
      <c r="H389" t="s">
        <v>12</v>
      </c>
      <c r="I389">
        <f t="shared" ca="1" si="88"/>
        <v>0.7336695318483073</v>
      </c>
      <c r="K389" t="str">
        <f t="shared" si="89"/>
        <v>Newcastle</v>
      </c>
      <c r="L389">
        <f t="shared" ca="1" si="90"/>
        <v>2</v>
      </c>
      <c r="M389" t="str">
        <f t="shared" si="91"/>
        <v>Southampton</v>
      </c>
      <c r="N389">
        <f t="shared" ca="1" si="80"/>
        <v>0</v>
      </c>
      <c r="O389" t="str">
        <f t="shared" ca="1" si="81"/>
        <v>Newcastle</v>
      </c>
      <c r="P389" t="str">
        <f t="shared" ca="1" si="82"/>
        <v>Southampton</v>
      </c>
      <c r="Q389" t="str">
        <f t="shared" ca="1" si="83"/>
        <v>Not Draw</v>
      </c>
      <c r="R389" t="str">
        <f t="shared" ca="1" si="84"/>
        <v>Not Draw</v>
      </c>
    </row>
    <row r="390" spans="5:18" x14ac:dyDescent="0.3">
      <c r="E390">
        <v>363</v>
      </c>
      <c r="F390" t="s">
        <v>9</v>
      </c>
      <c r="H390" t="s">
        <v>17</v>
      </c>
      <c r="I390">
        <f t="shared" ca="1" si="88"/>
        <v>0.58002356167410551</v>
      </c>
      <c r="K390" t="str">
        <f t="shared" si="89"/>
        <v>Bournemouth</v>
      </c>
      <c r="L390">
        <f t="shared" ca="1" si="90"/>
        <v>2</v>
      </c>
      <c r="M390" t="str">
        <f t="shared" si="91"/>
        <v>Stoke City</v>
      </c>
      <c r="N390">
        <f t="shared" ca="1" si="80"/>
        <v>0</v>
      </c>
      <c r="O390" t="str">
        <f t="shared" ca="1" si="81"/>
        <v>Bournemouth</v>
      </c>
      <c r="P390" t="str">
        <f t="shared" ca="1" si="82"/>
        <v>Stoke City</v>
      </c>
      <c r="Q390" t="str">
        <f t="shared" ca="1" si="83"/>
        <v>Not Draw</v>
      </c>
      <c r="R390" t="str">
        <f t="shared" ca="1" si="84"/>
        <v>Not Draw</v>
      </c>
    </row>
    <row r="391" spans="5:18" x14ac:dyDescent="0.3">
      <c r="E391">
        <v>364</v>
      </c>
      <c r="F391" t="s">
        <v>18</v>
      </c>
      <c r="H391" t="s">
        <v>1</v>
      </c>
      <c r="I391">
        <f t="shared" ca="1" si="88"/>
        <v>0.42277588879716343</v>
      </c>
      <c r="K391" t="str">
        <f t="shared" si="89"/>
        <v>Leicester City</v>
      </c>
      <c r="L391">
        <f t="shared" ca="1" si="90"/>
        <v>0</v>
      </c>
      <c r="M391" t="str">
        <f t="shared" si="91"/>
        <v>Manchester United</v>
      </c>
      <c r="N391">
        <f t="shared" ca="1" si="80"/>
        <v>0</v>
      </c>
      <c r="O391" t="str">
        <f t="shared" ca="1" si="81"/>
        <v>Draw</v>
      </c>
      <c r="P391" t="str">
        <f t="shared" ca="1" si="82"/>
        <v>Draw</v>
      </c>
      <c r="Q391" t="str">
        <f t="shared" ca="1" si="83"/>
        <v>Leicester City</v>
      </c>
      <c r="R391" t="str">
        <f t="shared" ca="1" si="84"/>
        <v>Manchester United</v>
      </c>
    </row>
    <row r="392" spans="5:18" x14ac:dyDescent="0.3">
      <c r="E392">
        <v>365</v>
      </c>
      <c r="F392" t="s">
        <v>15</v>
      </c>
      <c r="G392" s="1"/>
      <c r="H392" t="s">
        <v>13</v>
      </c>
      <c r="I392">
        <f t="shared" ca="1" si="88"/>
        <v>0.48476348087132104</v>
      </c>
      <c r="K392" t="str">
        <f t="shared" si="89"/>
        <v>West Bromwich</v>
      </c>
      <c r="L392">
        <f t="shared" ca="1" si="90"/>
        <v>2</v>
      </c>
      <c r="M392" t="str">
        <f t="shared" si="91"/>
        <v>Swansea City</v>
      </c>
      <c r="N392">
        <f t="shared" ca="1" si="80"/>
        <v>1</v>
      </c>
      <c r="O392" t="str">
        <f t="shared" ca="1" si="81"/>
        <v>West Bromwich</v>
      </c>
      <c r="P392" t="str">
        <f t="shared" ca="1" si="82"/>
        <v>Swansea City</v>
      </c>
      <c r="Q392" t="str">
        <f t="shared" ca="1" si="83"/>
        <v>Not Draw</v>
      </c>
      <c r="R392" t="str">
        <f t="shared" ca="1" si="84"/>
        <v>Not Draw</v>
      </c>
    </row>
    <row r="393" spans="5:18" x14ac:dyDescent="0.3">
      <c r="E393">
        <v>366</v>
      </c>
      <c r="F393" t="s">
        <v>6</v>
      </c>
      <c r="G393" s="1"/>
      <c r="H393" t="s">
        <v>2</v>
      </c>
      <c r="I393">
        <f t="shared" ca="1" si="88"/>
        <v>0.11477313754245611</v>
      </c>
      <c r="K393" t="str">
        <f t="shared" si="89"/>
        <v>Everton</v>
      </c>
      <c r="L393">
        <f t="shared" ca="1" si="90"/>
        <v>2</v>
      </c>
      <c r="M393" t="str">
        <f t="shared" si="91"/>
        <v>Chelsea</v>
      </c>
      <c r="N393">
        <f t="shared" ca="1" si="80"/>
        <v>1</v>
      </c>
      <c r="O393" t="str">
        <f t="shared" ca="1" si="81"/>
        <v>Everton</v>
      </c>
      <c r="P393" t="str">
        <f t="shared" ca="1" si="82"/>
        <v>Chelsea</v>
      </c>
      <c r="Q393" t="str">
        <f t="shared" ca="1" si="83"/>
        <v>Not Draw</v>
      </c>
      <c r="R393" t="str">
        <f t="shared" ca="1" si="84"/>
        <v>Not Draw</v>
      </c>
    </row>
    <row r="394" spans="5:18" x14ac:dyDescent="0.3">
      <c r="E394">
        <v>367</v>
      </c>
      <c r="F394" t="s">
        <v>4</v>
      </c>
      <c r="H394" t="s">
        <v>5</v>
      </c>
      <c r="I394">
        <f t="shared" ca="1" si="88"/>
        <v>0.39320923909062178</v>
      </c>
      <c r="K394" t="str">
        <f t="shared" si="89"/>
        <v>Tottenham Hotspur</v>
      </c>
      <c r="L394">
        <f t="shared" ca="1" si="90"/>
        <v>2</v>
      </c>
      <c r="M394" t="str">
        <f t="shared" si="91"/>
        <v>Liverpool</v>
      </c>
      <c r="N394">
        <f t="shared" ca="1" si="80"/>
        <v>2</v>
      </c>
      <c r="O394" t="str">
        <f t="shared" ca="1" si="81"/>
        <v>Draw</v>
      </c>
      <c r="P394" t="str">
        <f t="shared" ca="1" si="82"/>
        <v>Draw</v>
      </c>
      <c r="Q394" t="str">
        <f t="shared" ca="1" si="83"/>
        <v>Tottenham Hotspur</v>
      </c>
      <c r="R394" t="str">
        <f t="shared" ca="1" si="84"/>
        <v>Liverpool</v>
      </c>
    </row>
    <row r="395" spans="5:18" x14ac:dyDescent="0.3">
      <c r="E395">
        <v>368</v>
      </c>
      <c r="F395" t="s">
        <v>0</v>
      </c>
      <c r="H395" t="s">
        <v>11</v>
      </c>
      <c r="I395">
        <f t="shared" ca="1" si="88"/>
        <v>0.1234733162527164</v>
      </c>
      <c r="K395" t="str">
        <f t="shared" si="89"/>
        <v>Manchester City</v>
      </c>
      <c r="L395">
        <f t="shared" ca="1" si="90"/>
        <v>2</v>
      </c>
      <c r="M395" t="str">
        <f t="shared" si="91"/>
        <v>Crystal Palace</v>
      </c>
      <c r="N395">
        <f t="shared" ca="1" si="80"/>
        <v>1</v>
      </c>
      <c r="O395" t="str">
        <f t="shared" ca="1" si="81"/>
        <v>Manchester City</v>
      </c>
      <c r="P395" t="str">
        <f t="shared" ca="1" si="82"/>
        <v>Crystal Palace</v>
      </c>
      <c r="Q395" t="str">
        <f t="shared" ca="1" si="83"/>
        <v>Not Draw</v>
      </c>
      <c r="R395" t="str">
        <f t="shared" ca="1" si="84"/>
        <v>Not Draw</v>
      </c>
    </row>
    <row r="396" spans="5:18" x14ac:dyDescent="0.3">
      <c r="E396">
        <v>369</v>
      </c>
      <c r="F396" t="s">
        <v>10</v>
      </c>
      <c r="H396" t="s">
        <v>3</v>
      </c>
      <c r="I396">
        <f t="shared" ca="1" si="88"/>
        <v>6.5767665895797633E-2</v>
      </c>
      <c r="K396" t="str">
        <f t="shared" si="89"/>
        <v>Brighton</v>
      </c>
      <c r="L396">
        <f t="shared" ca="1" si="90"/>
        <v>2</v>
      </c>
      <c r="M396" t="str">
        <f t="shared" si="91"/>
        <v>Arsenal</v>
      </c>
      <c r="N396">
        <f t="shared" ca="1" si="80"/>
        <v>0</v>
      </c>
      <c r="O396" t="str">
        <f t="shared" ca="1" si="81"/>
        <v>Brighton</v>
      </c>
      <c r="P396" t="str">
        <f t="shared" ca="1" si="82"/>
        <v>Arsenal</v>
      </c>
      <c r="Q396" t="str">
        <f t="shared" ca="1" si="83"/>
        <v>Not Draw</v>
      </c>
      <c r="R396" t="str">
        <f t="shared" ca="1" si="84"/>
        <v>Not Draw</v>
      </c>
    </row>
    <row r="397" spans="5:18" x14ac:dyDescent="0.3">
      <c r="F397">
        <v>37</v>
      </c>
      <c r="K397">
        <f t="shared" si="89"/>
        <v>37</v>
      </c>
      <c r="L397" t="e">
        <f t="shared" ca="1" si="90"/>
        <v>#N/A</v>
      </c>
      <c r="M397">
        <f t="shared" si="91"/>
        <v>0</v>
      </c>
      <c r="N397" t="e">
        <f t="shared" ca="1" si="80"/>
        <v>#N/A</v>
      </c>
      <c r="O397" t="e">
        <f t="shared" ca="1" si="81"/>
        <v>#N/A</v>
      </c>
      <c r="P397" t="e">
        <f t="shared" ca="1" si="82"/>
        <v>#N/A</v>
      </c>
      <c r="Q397" t="e">
        <f t="shared" ca="1" si="83"/>
        <v>#N/A</v>
      </c>
      <c r="R397" t="e">
        <f t="shared" ca="1" si="84"/>
        <v>#N/A</v>
      </c>
    </row>
    <row r="398" spans="5:18" x14ac:dyDescent="0.3">
      <c r="E398">
        <v>370</v>
      </c>
      <c r="F398" t="s">
        <v>5</v>
      </c>
      <c r="G398" s="1"/>
      <c r="H398" t="s">
        <v>1</v>
      </c>
      <c r="I398">
        <f t="shared" ref="I398:I407" ca="1" si="92">IF(F398="No Team",-1,RAND())</f>
        <v>0.14441227027931791</v>
      </c>
      <c r="K398" t="str">
        <f t="shared" si="89"/>
        <v>Liverpool</v>
      </c>
      <c r="L398">
        <f t="shared" ca="1" si="90"/>
        <v>0</v>
      </c>
      <c r="M398" t="str">
        <f t="shared" si="91"/>
        <v>Manchester United</v>
      </c>
      <c r="N398">
        <f t="shared" ca="1" si="80"/>
        <v>4</v>
      </c>
      <c r="O398" t="str">
        <f t="shared" ca="1" si="81"/>
        <v>Manchester United</v>
      </c>
      <c r="P398" t="str">
        <f t="shared" ca="1" si="82"/>
        <v>Liverpool</v>
      </c>
      <c r="Q398" t="str">
        <f t="shared" ca="1" si="83"/>
        <v>Not Draw</v>
      </c>
      <c r="R398" t="str">
        <f t="shared" ca="1" si="84"/>
        <v>Not Draw</v>
      </c>
    </row>
    <row r="399" spans="5:18" x14ac:dyDescent="0.3">
      <c r="E399">
        <v>371</v>
      </c>
      <c r="F399" t="s">
        <v>7</v>
      </c>
      <c r="H399" t="s">
        <v>23</v>
      </c>
      <c r="I399">
        <f t="shared" ca="1" si="92"/>
        <v>0.69161229024375426</v>
      </c>
      <c r="K399" t="str">
        <f t="shared" si="89"/>
        <v>Burnley</v>
      </c>
      <c r="L399">
        <f t="shared" ca="1" si="90"/>
        <v>0</v>
      </c>
      <c r="M399" t="str">
        <f t="shared" si="91"/>
        <v>Newcastle</v>
      </c>
      <c r="N399">
        <f t="shared" ca="1" si="80"/>
        <v>2</v>
      </c>
      <c r="O399" t="str">
        <f t="shared" ca="1" si="81"/>
        <v>Newcastle</v>
      </c>
      <c r="P399" t="str">
        <f t="shared" ca="1" si="82"/>
        <v>Burnley</v>
      </c>
      <c r="Q399" t="str">
        <f t="shared" ca="1" si="83"/>
        <v>Not Draw</v>
      </c>
      <c r="R399" t="str">
        <f t="shared" ca="1" si="84"/>
        <v>Not Draw</v>
      </c>
    </row>
    <row r="400" spans="5:18" x14ac:dyDescent="0.3">
      <c r="E400">
        <v>372</v>
      </c>
      <c r="F400" t="s">
        <v>17</v>
      </c>
      <c r="G400" s="1"/>
      <c r="H400" t="s">
        <v>11</v>
      </c>
      <c r="I400">
        <f t="shared" ca="1" si="92"/>
        <v>0.53408358771187248</v>
      </c>
      <c r="K400" t="str">
        <f t="shared" si="89"/>
        <v>Stoke City</v>
      </c>
      <c r="L400">
        <f t="shared" ca="1" si="90"/>
        <v>0</v>
      </c>
      <c r="M400" t="str">
        <f t="shared" si="91"/>
        <v>Crystal Palace</v>
      </c>
      <c r="N400">
        <f t="shared" ca="1" si="80"/>
        <v>4</v>
      </c>
      <c r="O400" t="str">
        <f t="shared" ca="1" si="81"/>
        <v>Crystal Palace</v>
      </c>
      <c r="P400" t="str">
        <f t="shared" ca="1" si="82"/>
        <v>Stoke City</v>
      </c>
      <c r="Q400" t="str">
        <f t="shared" ca="1" si="83"/>
        <v>Not Draw</v>
      </c>
      <c r="R400" t="str">
        <f t="shared" ca="1" si="84"/>
        <v>Not Draw</v>
      </c>
    </row>
    <row r="401" spans="5:18" x14ac:dyDescent="0.3">
      <c r="E401">
        <v>373</v>
      </c>
      <c r="F401" t="s">
        <v>3</v>
      </c>
      <c r="H401" t="s">
        <v>0</v>
      </c>
      <c r="I401">
        <f t="shared" ca="1" si="92"/>
        <v>0.62490998641505957</v>
      </c>
      <c r="K401" t="str">
        <f t="shared" si="89"/>
        <v>Arsenal</v>
      </c>
      <c r="L401">
        <f t="shared" ca="1" si="90"/>
        <v>1</v>
      </c>
      <c r="M401" t="str">
        <f t="shared" si="91"/>
        <v>Manchester City</v>
      </c>
      <c r="N401">
        <f t="shared" ca="1" si="80"/>
        <v>4</v>
      </c>
      <c r="O401" t="str">
        <f t="shared" ca="1" si="81"/>
        <v>Manchester City</v>
      </c>
      <c r="P401" t="str">
        <f t="shared" ca="1" si="82"/>
        <v>Arsenal</v>
      </c>
      <c r="Q401" t="str">
        <f t="shared" ca="1" si="83"/>
        <v>Not Draw</v>
      </c>
      <c r="R401" t="str">
        <f t="shared" ca="1" si="84"/>
        <v>Not Draw</v>
      </c>
    </row>
    <row r="402" spans="5:18" x14ac:dyDescent="0.3">
      <c r="E402">
        <v>374</v>
      </c>
      <c r="F402" t="s">
        <v>13</v>
      </c>
      <c r="H402" t="s">
        <v>18</v>
      </c>
      <c r="I402">
        <f t="shared" ca="1" si="92"/>
        <v>0.24691039289151984</v>
      </c>
      <c r="K402" t="str">
        <f t="shared" si="89"/>
        <v>Swansea City</v>
      </c>
      <c r="L402">
        <f t="shared" ca="1" si="90"/>
        <v>0</v>
      </c>
      <c r="M402" t="str">
        <f t="shared" si="91"/>
        <v>Leicester City</v>
      </c>
      <c r="N402">
        <f t="shared" ca="1" si="80"/>
        <v>2</v>
      </c>
      <c r="O402" t="str">
        <f t="shared" ca="1" si="81"/>
        <v>Leicester City</v>
      </c>
      <c r="P402" t="str">
        <f t="shared" ca="1" si="82"/>
        <v>Swansea City</v>
      </c>
      <c r="Q402" t="str">
        <f t="shared" ca="1" si="83"/>
        <v>Not Draw</v>
      </c>
      <c r="R402" t="str">
        <f t="shared" ca="1" si="84"/>
        <v>Not Draw</v>
      </c>
    </row>
    <row r="403" spans="5:18" x14ac:dyDescent="0.3">
      <c r="E403">
        <v>375</v>
      </c>
      <c r="F403" t="s">
        <v>6</v>
      </c>
      <c r="H403" t="s">
        <v>14</v>
      </c>
      <c r="I403">
        <f t="shared" ca="1" si="92"/>
        <v>0.27268597855950993</v>
      </c>
      <c r="K403" t="str">
        <f t="shared" si="89"/>
        <v>Everton</v>
      </c>
      <c r="L403">
        <f t="shared" ca="1" si="90"/>
        <v>0</v>
      </c>
      <c r="M403" t="str">
        <f t="shared" si="91"/>
        <v>Huddersfield</v>
      </c>
      <c r="N403">
        <f t="shared" ca="1" si="80"/>
        <v>2</v>
      </c>
      <c r="O403" t="str">
        <f t="shared" ca="1" si="81"/>
        <v>Huddersfield</v>
      </c>
      <c r="P403" t="str">
        <f t="shared" ca="1" si="82"/>
        <v>Everton</v>
      </c>
      <c r="Q403" t="str">
        <f t="shared" ca="1" si="83"/>
        <v>Not Draw</v>
      </c>
      <c r="R403" t="str">
        <f t="shared" ca="1" si="84"/>
        <v>Not Draw</v>
      </c>
    </row>
    <row r="404" spans="5:18" x14ac:dyDescent="0.3">
      <c r="E404">
        <v>376</v>
      </c>
      <c r="F404" t="s">
        <v>12</v>
      </c>
      <c r="H404" t="s">
        <v>9</v>
      </c>
      <c r="I404">
        <f t="shared" ca="1" si="92"/>
        <v>0.20995921211571589</v>
      </c>
      <c r="K404" t="str">
        <f t="shared" si="89"/>
        <v>Southampton</v>
      </c>
      <c r="L404">
        <f t="shared" ca="1" si="90"/>
        <v>2</v>
      </c>
      <c r="M404" t="str">
        <f t="shared" si="91"/>
        <v>Bournemouth</v>
      </c>
      <c r="N404">
        <f t="shared" ca="1" si="80"/>
        <v>2</v>
      </c>
      <c r="O404" t="str">
        <f t="shared" ca="1" si="81"/>
        <v>Draw</v>
      </c>
      <c r="P404" t="str">
        <f t="shared" ca="1" si="82"/>
        <v>Draw</v>
      </c>
      <c r="Q404" t="str">
        <f t="shared" ca="1" si="83"/>
        <v>Southampton</v>
      </c>
      <c r="R404" t="str">
        <f t="shared" ca="1" si="84"/>
        <v>Bournemouth</v>
      </c>
    </row>
    <row r="405" spans="5:18" x14ac:dyDescent="0.3">
      <c r="E405">
        <v>377</v>
      </c>
      <c r="F405" t="s">
        <v>2</v>
      </c>
      <c r="H405" t="s">
        <v>15</v>
      </c>
      <c r="I405">
        <f t="shared" ca="1" si="92"/>
        <v>0.16948405383634502</v>
      </c>
      <c r="K405" t="str">
        <f t="shared" si="89"/>
        <v>Chelsea</v>
      </c>
      <c r="L405">
        <f t="shared" ca="1" si="90"/>
        <v>3</v>
      </c>
      <c r="M405" t="str">
        <f t="shared" si="91"/>
        <v>West Bromwich</v>
      </c>
      <c r="N405">
        <f t="shared" ca="1" si="80"/>
        <v>1</v>
      </c>
      <c r="O405" t="str">
        <f t="shared" ca="1" si="81"/>
        <v>Chelsea</v>
      </c>
      <c r="P405" t="str">
        <f t="shared" ca="1" si="82"/>
        <v>West Bromwich</v>
      </c>
      <c r="Q405" t="str">
        <f t="shared" ca="1" si="83"/>
        <v>Not Draw</v>
      </c>
      <c r="R405" t="str">
        <f t="shared" ca="1" si="84"/>
        <v>Not Draw</v>
      </c>
    </row>
    <row r="406" spans="5:18" x14ac:dyDescent="0.3">
      <c r="E406">
        <v>378</v>
      </c>
      <c r="F406" t="s">
        <v>16</v>
      </c>
      <c r="H406" t="s">
        <v>10</v>
      </c>
      <c r="I406">
        <f t="shared" ca="1" si="92"/>
        <v>0.81742883337962469</v>
      </c>
      <c r="K406" t="str">
        <f t="shared" si="89"/>
        <v>West Ham United</v>
      </c>
      <c r="L406">
        <f t="shared" ca="1" si="90"/>
        <v>0</v>
      </c>
      <c r="M406" t="str">
        <f t="shared" si="91"/>
        <v>Brighton</v>
      </c>
      <c r="N406">
        <f t="shared" ca="1" si="80"/>
        <v>0</v>
      </c>
      <c r="O406" t="str">
        <f t="shared" ca="1" si="81"/>
        <v>Draw</v>
      </c>
      <c r="P406" t="str">
        <f t="shared" ca="1" si="82"/>
        <v>Draw</v>
      </c>
      <c r="Q406" t="str">
        <f t="shared" ca="1" si="83"/>
        <v>West Ham United</v>
      </c>
      <c r="R406" t="str">
        <f t="shared" ca="1" si="84"/>
        <v>Brighton</v>
      </c>
    </row>
    <row r="407" spans="5:18" x14ac:dyDescent="0.3">
      <c r="E407">
        <v>379</v>
      </c>
      <c r="F407" t="s">
        <v>8</v>
      </c>
      <c r="H407" t="s">
        <v>4</v>
      </c>
      <c r="I407">
        <f t="shared" ca="1" si="92"/>
        <v>0.79320113536332204</v>
      </c>
      <c r="K407" t="str">
        <f t="shared" si="89"/>
        <v>Watford</v>
      </c>
      <c r="L407">
        <f t="shared" ca="1" si="90"/>
        <v>2</v>
      </c>
      <c r="M407" t="str">
        <f t="shared" si="91"/>
        <v>Tottenham Hotspur</v>
      </c>
      <c r="N407">
        <f t="shared" ca="1" si="80"/>
        <v>1</v>
      </c>
      <c r="O407" t="str">
        <f t="shared" ca="1" si="81"/>
        <v>Watford</v>
      </c>
      <c r="P407" t="str">
        <f t="shared" ca="1" si="82"/>
        <v>Tottenham Hotspur</v>
      </c>
      <c r="Q407" t="str">
        <f t="shared" ca="1" si="83"/>
        <v>Not Draw</v>
      </c>
      <c r="R407" t="str">
        <f t="shared" ca="1" si="84"/>
        <v>Not Draw</v>
      </c>
    </row>
    <row r="408" spans="5:18" x14ac:dyDescent="0.3">
      <c r="F408">
        <v>38</v>
      </c>
      <c r="K408">
        <f t="shared" si="89"/>
        <v>38</v>
      </c>
      <c r="L408" t="e">
        <f t="shared" ca="1" si="90"/>
        <v>#N/A</v>
      </c>
      <c r="M408">
        <f t="shared" si="91"/>
        <v>0</v>
      </c>
      <c r="N408" t="e">
        <f t="shared" ca="1" si="80"/>
        <v>#N/A</v>
      </c>
      <c r="O408" t="e">
        <f t="shared" ca="1" si="81"/>
        <v>#N/A</v>
      </c>
      <c r="P408" t="e">
        <f t="shared" ca="1" si="82"/>
        <v>#N/A</v>
      </c>
      <c r="Q408" t="e">
        <f t="shared" ca="1" si="83"/>
        <v>#N/A</v>
      </c>
      <c r="R408" t="e">
        <f t="shared" ca="1" si="84"/>
        <v>#N/A</v>
      </c>
    </row>
    <row r="409" spans="5:18" x14ac:dyDescent="0.3">
      <c r="E409">
        <v>380</v>
      </c>
      <c r="F409" t="s">
        <v>7</v>
      </c>
      <c r="H409" t="s">
        <v>3</v>
      </c>
      <c r="I409">
        <f t="shared" ref="I409:I418" ca="1" si="93">IF(F409="No Team",-1,RAND())</f>
        <v>0.22799417932781951</v>
      </c>
      <c r="K409" t="str">
        <f t="shared" si="89"/>
        <v>Burnley</v>
      </c>
      <c r="L409">
        <f t="shared" ca="1" si="90"/>
        <v>1</v>
      </c>
      <c r="M409" t="str">
        <f t="shared" si="91"/>
        <v>Arsenal</v>
      </c>
      <c r="N409">
        <f t="shared" ca="1" si="80"/>
        <v>1</v>
      </c>
      <c r="O409" t="str">
        <f t="shared" ca="1" si="81"/>
        <v>Draw</v>
      </c>
      <c r="P409" t="str">
        <f t="shared" ca="1" si="82"/>
        <v>Draw</v>
      </c>
      <c r="Q409" t="str">
        <f t="shared" ca="1" si="83"/>
        <v>Burnley</v>
      </c>
      <c r="R409" t="str">
        <f t="shared" ca="1" si="84"/>
        <v>Arsenal</v>
      </c>
    </row>
    <row r="410" spans="5:18" x14ac:dyDescent="0.3">
      <c r="E410">
        <v>381</v>
      </c>
      <c r="F410" t="s">
        <v>23</v>
      </c>
      <c r="H410" t="s">
        <v>17</v>
      </c>
      <c r="I410">
        <f t="shared" ca="1" si="93"/>
        <v>0.78247466653917175</v>
      </c>
      <c r="K410" t="str">
        <f t="shared" si="89"/>
        <v>Newcastle</v>
      </c>
      <c r="L410">
        <f t="shared" ca="1" si="90"/>
        <v>5</v>
      </c>
      <c r="M410" t="str">
        <f t="shared" si="91"/>
        <v>Stoke City</v>
      </c>
      <c r="N410">
        <f t="shared" ca="1" si="80"/>
        <v>0</v>
      </c>
      <c r="O410" t="str">
        <f t="shared" ca="1" si="81"/>
        <v>Newcastle</v>
      </c>
      <c r="P410" t="str">
        <f t="shared" ca="1" si="82"/>
        <v>Stoke City</v>
      </c>
      <c r="Q410" t="str">
        <f t="shared" ca="1" si="83"/>
        <v>Not Draw</v>
      </c>
      <c r="R410" t="str">
        <f t="shared" ca="1" si="84"/>
        <v>Not Draw</v>
      </c>
    </row>
    <row r="411" spans="5:18" x14ac:dyDescent="0.3">
      <c r="E411">
        <v>382</v>
      </c>
      <c r="F411" t="s">
        <v>14</v>
      </c>
      <c r="G411" s="1"/>
      <c r="H411" t="s">
        <v>5</v>
      </c>
      <c r="I411">
        <f t="shared" ca="1" si="93"/>
        <v>0.43242583720850192</v>
      </c>
      <c r="K411" t="str">
        <f t="shared" si="89"/>
        <v>Huddersfield</v>
      </c>
      <c r="L411">
        <f t="shared" ca="1" si="90"/>
        <v>0</v>
      </c>
      <c r="M411" t="str">
        <f t="shared" si="91"/>
        <v>Liverpool</v>
      </c>
      <c r="N411">
        <f t="shared" ca="1" si="80"/>
        <v>3</v>
      </c>
      <c r="O411" t="str">
        <f t="shared" ca="1" si="81"/>
        <v>Liverpool</v>
      </c>
      <c r="P411" t="str">
        <f t="shared" ca="1" si="82"/>
        <v>Huddersfield</v>
      </c>
      <c r="Q411" t="str">
        <f t="shared" ca="1" si="83"/>
        <v>Not Draw</v>
      </c>
      <c r="R411" t="str">
        <f t="shared" ca="1" si="84"/>
        <v>Not Draw</v>
      </c>
    </row>
    <row r="412" spans="5:18" x14ac:dyDescent="0.3">
      <c r="E412">
        <v>383</v>
      </c>
      <c r="F412" t="s">
        <v>6</v>
      </c>
      <c r="H412" t="s">
        <v>13</v>
      </c>
      <c r="I412">
        <f t="shared" ca="1" si="93"/>
        <v>9.965015996130433E-2</v>
      </c>
      <c r="K412" t="str">
        <f t="shared" si="89"/>
        <v>Everton</v>
      </c>
      <c r="L412">
        <f t="shared" ca="1" si="90"/>
        <v>3</v>
      </c>
      <c r="M412" t="str">
        <f t="shared" si="91"/>
        <v>Swansea City</v>
      </c>
      <c r="N412">
        <f t="shared" ca="1" si="80"/>
        <v>1</v>
      </c>
      <c r="O412" t="str">
        <f t="shared" ca="1" si="81"/>
        <v>Everton</v>
      </c>
      <c r="P412" t="str">
        <f t="shared" ca="1" si="82"/>
        <v>Swansea City</v>
      </c>
      <c r="Q412" t="str">
        <f t="shared" ca="1" si="83"/>
        <v>Not Draw</v>
      </c>
      <c r="R412" t="str">
        <f t="shared" ca="1" si="84"/>
        <v>Not Draw</v>
      </c>
    </row>
    <row r="413" spans="5:18" x14ac:dyDescent="0.3">
      <c r="E413">
        <v>384</v>
      </c>
      <c r="F413" t="s">
        <v>4</v>
      </c>
      <c r="G413" s="1"/>
      <c r="H413" t="s">
        <v>1</v>
      </c>
      <c r="I413">
        <f t="shared" ca="1" si="93"/>
        <v>6.2267983167801133E-2</v>
      </c>
      <c r="K413" t="str">
        <f t="shared" si="89"/>
        <v>Tottenham Hotspur</v>
      </c>
      <c r="L413">
        <f t="shared" ca="1" si="90"/>
        <v>2</v>
      </c>
      <c r="M413" t="str">
        <f t="shared" si="91"/>
        <v>Manchester United</v>
      </c>
      <c r="N413">
        <f t="shared" ref="N413:N429" ca="1" si="94">MAX(0,(VLOOKUP(RAND(),$S$2:$T$9,2,1)+(IF(RAND()+((VLOOKUP(M413,$B$23:$C$42,2,1)-VLOOKUP(K413,$B$23:$C$42,2,1))/2)&gt;0.95,1,0)+(IF(RAND()+((VLOOKUP(M413,$B$23:$C$42,2,1)-VLOOKUP(K413,$B$23:$C$42,2,1))/2)&lt;0,-1,0)))))</f>
        <v>2</v>
      </c>
      <c r="O413" t="str">
        <f t="shared" ref="O413:O429" ca="1" si="95">IF(L413=N413,"Draw",IF(L413&gt;N413,K413,M413))</f>
        <v>Draw</v>
      </c>
      <c r="P413" t="str">
        <f t="shared" ref="P413:P429" ca="1" si="96">IF(O413="Draw","Draw",IF(O413=K413,M413,K413))</f>
        <v>Draw</v>
      </c>
      <c r="Q413" t="str">
        <f t="shared" ref="Q413:Q429" ca="1" si="97">IF(L413=N413,K413,"Not Draw")</f>
        <v>Tottenham Hotspur</v>
      </c>
      <c r="R413" t="str">
        <f t="shared" ref="R413:R429" ca="1" si="98">IF(L413=N413,M413,"Not Draw")</f>
        <v>Manchester United</v>
      </c>
    </row>
    <row r="414" spans="5:18" x14ac:dyDescent="0.3">
      <c r="E414">
        <v>385</v>
      </c>
      <c r="F414" t="s">
        <v>8</v>
      </c>
      <c r="H414" t="s">
        <v>2</v>
      </c>
      <c r="I414">
        <f t="shared" ca="1" si="93"/>
        <v>0.26058754411977747</v>
      </c>
      <c r="K414" t="str">
        <f t="shared" si="89"/>
        <v>Watford</v>
      </c>
      <c r="L414">
        <f t="shared" ca="1" si="90"/>
        <v>0</v>
      </c>
      <c r="M414" t="str">
        <f t="shared" si="91"/>
        <v>Chelsea</v>
      </c>
      <c r="N414">
        <f t="shared" ca="1" si="94"/>
        <v>2</v>
      </c>
      <c r="O414" t="str">
        <f t="shared" ca="1" si="95"/>
        <v>Chelsea</v>
      </c>
      <c r="P414" t="str">
        <f t="shared" ca="1" si="96"/>
        <v>Watford</v>
      </c>
      <c r="Q414" t="str">
        <f t="shared" ca="1" si="97"/>
        <v>Not Draw</v>
      </c>
      <c r="R414" t="str">
        <f t="shared" ca="1" si="98"/>
        <v>Not Draw</v>
      </c>
    </row>
    <row r="415" spans="5:18" x14ac:dyDescent="0.3">
      <c r="E415">
        <v>386</v>
      </c>
      <c r="F415" t="s">
        <v>10</v>
      </c>
      <c r="H415" t="s">
        <v>0</v>
      </c>
      <c r="I415">
        <f t="shared" ca="1" si="93"/>
        <v>0.54205058200714362</v>
      </c>
      <c r="K415" t="str">
        <f t="shared" si="89"/>
        <v>Brighton</v>
      </c>
      <c r="L415">
        <f t="shared" ca="1" si="90"/>
        <v>1</v>
      </c>
      <c r="M415" t="str">
        <f t="shared" si="91"/>
        <v>Manchester City</v>
      </c>
      <c r="N415">
        <f t="shared" ca="1" si="94"/>
        <v>2</v>
      </c>
      <c r="O415" t="str">
        <f t="shared" ca="1" si="95"/>
        <v>Manchester City</v>
      </c>
      <c r="P415" t="str">
        <f t="shared" ca="1" si="96"/>
        <v>Brighton</v>
      </c>
      <c r="Q415" t="str">
        <f t="shared" ca="1" si="97"/>
        <v>Not Draw</v>
      </c>
      <c r="R415" t="str">
        <f t="shared" ca="1" si="98"/>
        <v>Not Draw</v>
      </c>
    </row>
    <row r="416" spans="5:18" x14ac:dyDescent="0.3">
      <c r="E416">
        <v>387</v>
      </c>
      <c r="F416" t="s">
        <v>9</v>
      </c>
      <c r="H416" t="s">
        <v>11</v>
      </c>
      <c r="I416">
        <f t="shared" ca="1" si="93"/>
        <v>0.46790970045688318</v>
      </c>
      <c r="K416" t="str">
        <f t="shared" si="89"/>
        <v>Bournemouth</v>
      </c>
      <c r="L416">
        <f t="shared" ca="1" si="90"/>
        <v>0</v>
      </c>
      <c r="M416" t="str">
        <f t="shared" si="91"/>
        <v>Crystal Palace</v>
      </c>
      <c r="N416">
        <f t="shared" ca="1" si="94"/>
        <v>3</v>
      </c>
      <c r="O416" t="str">
        <f t="shared" ca="1" si="95"/>
        <v>Crystal Palace</v>
      </c>
      <c r="P416" t="str">
        <f t="shared" ca="1" si="96"/>
        <v>Bournemouth</v>
      </c>
      <c r="Q416" t="str">
        <f t="shared" ca="1" si="97"/>
        <v>Not Draw</v>
      </c>
      <c r="R416" t="str">
        <f t="shared" ca="1" si="98"/>
        <v>Not Draw</v>
      </c>
    </row>
    <row r="417" spans="5:18" x14ac:dyDescent="0.3">
      <c r="E417">
        <v>388</v>
      </c>
      <c r="F417" t="s">
        <v>15</v>
      </c>
      <c r="H417" t="s">
        <v>18</v>
      </c>
      <c r="I417">
        <f t="shared" ca="1" si="93"/>
        <v>0.32481069267638396</v>
      </c>
      <c r="K417" t="str">
        <f t="shared" si="89"/>
        <v>West Bromwich</v>
      </c>
      <c r="L417">
        <f t="shared" ca="1" si="90"/>
        <v>2</v>
      </c>
      <c r="M417" t="str">
        <f t="shared" si="91"/>
        <v>Leicester City</v>
      </c>
      <c r="N417">
        <f t="shared" ca="1" si="94"/>
        <v>1</v>
      </c>
      <c r="O417" t="str">
        <f t="shared" ca="1" si="95"/>
        <v>West Bromwich</v>
      </c>
      <c r="P417" t="str">
        <f t="shared" ca="1" si="96"/>
        <v>Leicester City</v>
      </c>
      <c r="Q417" t="str">
        <f t="shared" ca="1" si="97"/>
        <v>Not Draw</v>
      </c>
      <c r="R417" t="str">
        <f t="shared" ca="1" si="98"/>
        <v>Not Draw</v>
      </c>
    </row>
    <row r="418" spans="5:18" x14ac:dyDescent="0.3">
      <c r="E418">
        <v>389</v>
      </c>
      <c r="F418" t="s">
        <v>12</v>
      </c>
      <c r="H418" t="s">
        <v>16</v>
      </c>
      <c r="I418">
        <f t="shared" ca="1" si="93"/>
        <v>0.8473574245423604</v>
      </c>
      <c r="K418" t="str">
        <f t="shared" si="89"/>
        <v>Southampton</v>
      </c>
      <c r="L418">
        <f t="shared" ca="1" si="90"/>
        <v>0</v>
      </c>
      <c r="M418" t="str">
        <f t="shared" si="91"/>
        <v>West Ham United</v>
      </c>
      <c r="N418">
        <f t="shared" ca="1" si="94"/>
        <v>4</v>
      </c>
      <c r="O418" t="str">
        <f t="shared" ca="1" si="95"/>
        <v>West Ham United</v>
      </c>
      <c r="P418" t="str">
        <f t="shared" ca="1" si="96"/>
        <v>Southampton</v>
      </c>
      <c r="Q418" t="str">
        <f t="shared" ca="1" si="97"/>
        <v>Not Draw</v>
      </c>
      <c r="R418" t="str">
        <f t="shared" ca="1" si="98"/>
        <v>Not Draw</v>
      </c>
    </row>
    <row r="419" spans="5:18" x14ac:dyDescent="0.3">
      <c r="F419" s="1">
        <v>39</v>
      </c>
      <c r="K419">
        <f t="shared" si="89"/>
        <v>39</v>
      </c>
      <c r="L419" t="e">
        <f t="shared" ca="1" si="90"/>
        <v>#N/A</v>
      </c>
      <c r="M419">
        <f t="shared" si="91"/>
        <v>0</v>
      </c>
      <c r="N419" t="e">
        <f t="shared" ca="1" si="94"/>
        <v>#N/A</v>
      </c>
      <c r="O419" t="e">
        <f t="shared" ca="1" si="95"/>
        <v>#N/A</v>
      </c>
      <c r="P419" t="e">
        <f t="shared" ca="1" si="96"/>
        <v>#N/A</v>
      </c>
      <c r="Q419" t="e">
        <f t="shared" ca="1" si="97"/>
        <v>#N/A</v>
      </c>
      <c r="R419" t="e">
        <f t="shared" ca="1" si="98"/>
        <v>#N/A</v>
      </c>
    </row>
    <row r="420" spans="5:18" x14ac:dyDescent="0.3">
      <c r="E420">
        <v>390</v>
      </c>
      <c r="F420" t="s">
        <v>5</v>
      </c>
      <c r="H420" t="s">
        <v>13</v>
      </c>
      <c r="I420">
        <f t="shared" ref="I420:I429" ca="1" si="99">IF(F420="No Team",-1,RAND())</f>
        <v>0.78546523345951014</v>
      </c>
      <c r="K420" t="str">
        <f t="shared" si="89"/>
        <v>Liverpool</v>
      </c>
      <c r="L420">
        <f t="shared" ca="1" si="90"/>
        <v>2</v>
      </c>
      <c r="M420" t="str">
        <f t="shared" si="91"/>
        <v>Swansea City</v>
      </c>
      <c r="N420">
        <f t="shared" ca="1" si="94"/>
        <v>4</v>
      </c>
      <c r="O420" t="str">
        <f t="shared" ca="1" si="95"/>
        <v>Swansea City</v>
      </c>
      <c r="P420" t="str">
        <f t="shared" ca="1" si="96"/>
        <v>Liverpool</v>
      </c>
      <c r="Q420" t="str">
        <f t="shared" ca="1" si="97"/>
        <v>Not Draw</v>
      </c>
      <c r="R420" t="str">
        <f t="shared" ca="1" si="98"/>
        <v>Not Draw</v>
      </c>
    </row>
    <row r="421" spans="5:18" x14ac:dyDescent="0.3">
      <c r="E421">
        <v>391</v>
      </c>
      <c r="F421" t="s">
        <v>7</v>
      </c>
      <c r="H421" t="s">
        <v>10</v>
      </c>
      <c r="I421">
        <f t="shared" ca="1" si="99"/>
        <v>0.16089149968725902</v>
      </c>
      <c r="K421" t="str">
        <f t="shared" si="89"/>
        <v>Burnley</v>
      </c>
      <c r="L421">
        <f t="shared" ca="1" si="90"/>
        <v>1</v>
      </c>
      <c r="M421" t="str">
        <f t="shared" si="91"/>
        <v>Brighton</v>
      </c>
      <c r="N421">
        <f t="shared" ca="1" si="94"/>
        <v>1</v>
      </c>
      <c r="O421" t="str">
        <f t="shared" ca="1" si="95"/>
        <v>Draw</v>
      </c>
      <c r="P421" t="str">
        <f t="shared" ca="1" si="96"/>
        <v>Draw</v>
      </c>
      <c r="Q421" t="str">
        <f t="shared" ca="1" si="97"/>
        <v>Burnley</v>
      </c>
      <c r="R421" t="str">
        <f t="shared" ca="1" si="98"/>
        <v>Brighton</v>
      </c>
    </row>
    <row r="422" spans="5:18" x14ac:dyDescent="0.3">
      <c r="E422">
        <v>392</v>
      </c>
      <c r="F422" t="s">
        <v>8</v>
      </c>
      <c r="H422" t="s">
        <v>1</v>
      </c>
      <c r="I422">
        <f t="shared" ca="1" si="99"/>
        <v>0.70507828366886327</v>
      </c>
      <c r="K422" t="str">
        <f t="shared" si="89"/>
        <v>Watford</v>
      </c>
      <c r="L422">
        <f t="shared" ca="1" si="90"/>
        <v>4</v>
      </c>
      <c r="M422" t="str">
        <f t="shared" si="91"/>
        <v>Manchester United</v>
      </c>
      <c r="N422">
        <f t="shared" ca="1" si="94"/>
        <v>0</v>
      </c>
      <c r="O422" t="str">
        <f t="shared" ca="1" si="95"/>
        <v>Watford</v>
      </c>
      <c r="P422" t="str">
        <f t="shared" ca="1" si="96"/>
        <v>Manchester United</v>
      </c>
      <c r="Q422" t="str">
        <f t="shared" ca="1" si="97"/>
        <v>Not Draw</v>
      </c>
      <c r="R422" t="str">
        <f t="shared" ca="1" si="98"/>
        <v>Not Draw</v>
      </c>
    </row>
    <row r="423" spans="5:18" x14ac:dyDescent="0.3">
      <c r="E423">
        <v>393</v>
      </c>
      <c r="F423" t="s">
        <v>14</v>
      </c>
      <c r="G423" s="1"/>
      <c r="H423" t="s">
        <v>4</v>
      </c>
      <c r="I423">
        <f t="shared" ca="1" si="99"/>
        <v>0.79757938026324227</v>
      </c>
      <c r="K423" t="str">
        <f t="shared" si="89"/>
        <v>Huddersfield</v>
      </c>
      <c r="L423">
        <f t="shared" ca="1" si="90"/>
        <v>0</v>
      </c>
      <c r="M423" t="str">
        <f t="shared" si="91"/>
        <v>Tottenham Hotspur</v>
      </c>
      <c r="N423">
        <f t="shared" ca="1" si="94"/>
        <v>0</v>
      </c>
      <c r="O423" t="str">
        <f t="shared" ca="1" si="95"/>
        <v>Draw</v>
      </c>
      <c r="P423" t="str">
        <f t="shared" ca="1" si="96"/>
        <v>Draw</v>
      </c>
      <c r="Q423" t="str">
        <f t="shared" ca="1" si="97"/>
        <v>Huddersfield</v>
      </c>
      <c r="R423" t="str">
        <f t="shared" ca="1" si="98"/>
        <v>Tottenham Hotspur</v>
      </c>
    </row>
    <row r="424" spans="5:18" x14ac:dyDescent="0.3">
      <c r="E424">
        <v>394</v>
      </c>
      <c r="F424" t="s">
        <v>6</v>
      </c>
      <c r="H424" t="s">
        <v>15</v>
      </c>
      <c r="I424">
        <f t="shared" ca="1" si="99"/>
        <v>0.30569532801793053</v>
      </c>
      <c r="K424" t="str">
        <f t="shared" si="89"/>
        <v>Everton</v>
      </c>
      <c r="L424">
        <f t="shared" ca="1" si="90"/>
        <v>1</v>
      </c>
      <c r="M424" t="str">
        <f t="shared" si="91"/>
        <v>West Bromwich</v>
      </c>
      <c r="N424">
        <f t="shared" ca="1" si="94"/>
        <v>1</v>
      </c>
      <c r="O424" t="str">
        <f t="shared" ca="1" si="95"/>
        <v>Draw</v>
      </c>
      <c r="P424" t="str">
        <f t="shared" ca="1" si="96"/>
        <v>Draw</v>
      </c>
      <c r="Q424" t="str">
        <f t="shared" ca="1" si="97"/>
        <v>Everton</v>
      </c>
      <c r="R424" t="str">
        <f t="shared" ca="1" si="98"/>
        <v>West Bromwich</v>
      </c>
    </row>
    <row r="425" spans="5:18" x14ac:dyDescent="0.3">
      <c r="E425">
        <v>395</v>
      </c>
      <c r="F425" t="s">
        <v>23</v>
      </c>
      <c r="H425" t="s">
        <v>9</v>
      </c>
      <c r="I425">
        <f t="shared" ca="1" si="99"/>
        <v>0.97338418670966709</v>
      </c>
      <c r="K425" t="str">
        <f t="shared" si="89"/>
        <v>Newcastle</v>
      </c>
      <c r="L425">
        <f t="shared" ca="1" si="90"/>
        <v>1</v>
      </c>
      <c r="M425" t="str">
        <f t="shared" si="91"/>
        <v>Bournemouth</v>
      </c>
      <c r="N425">
        <f t="shared" ca="1" si="94"/>
        <v>2</v>
      </c>
      <c r="O425" t="str">
        <f t="shared" ca="1" si="95"/>
        <v>Bournemouth</v>
      </c>
      <c r="P425" t="str">
        <f t="shared" ca="1" si="96"/>
        <v>Newcastle</v>
      </c>
      <c r="Q425" t="str">
        <f t="shared" ca="1" si="97"/>
        <v>Not Draw</v>
      </c>
      <c r="R425" t="str">
        <f t="shared" ca="1" si="98"/>
        <v>Not Draw</v>
      </c>
    </row>
    <row r="426" spans="5:18" x14ac:dyDescent="0.3">
      <c r="E426">
        <v>396</v>
      </c>
      <c r="F426" t="s">
        <v>17</v>
      </c>
      <c r="H426" t="s">
        <v>3</v>
      </c>
      <c r="I426">
        <f t="shared" ca="1" si="99"/>
        <v>0.27337820287468251</v>
      </c>
      <c r="K426" t="str">
        <f t="shared" si="89"/>
        <v>Stoke City</v>
      </c>
      <c r="L426">
        <f t="shared" ca="1" si="90"/>
        <v>2</v>
      </c>
      <c r="M426" t="str">
        <f t="shared" si="91"/>
        <v>Arsenal</v>
      </c>
      <c r="N426">
        <f t="shared" ca="1" si="94"/>
        <v>1</v>
      </c>
      <c r="O426" t="str">
        <f t="shared" ca="1" si="95"/>
        <v>Stoke City</v>
      </c>
      <c r="P426" t="str">
        <f t="shared" ca="1" si="96"/>
        <v>Arsenal</v>
      </c>
      <c r="Q426" t="str">
        <f t="shared" ca="1" si="97"/>
        <v>Not Draw</v>
      </c>
      <c r="R426" t="str">
        <f t="shared" ca="1" si="98"/>
        <v>Not Draw</v>
      </c>
    </row>
    <row r="427" spans="5:18" x14ac:dyDescent="0.3">
      <c r="E427">
        <v>397</v>
      </c>
      <c r="F427" t="s">
        <v>2</v>
      </c>
      <c r="H427" t="s">
        <v>18</v>
      </c>
      <c r="I427">
        <f t="shared" ca="1" si="99"/>
        <v>7.5980496884013982E-2</v>
      </c>
      <c r="K427" t="str">
        <f t="shared" si="89"/>
        <v>Chelsea</v>
      </c>
      <c r="L427">
        <f t="shared" ca="1" si="90"/>
        <v>4</v>
      </c>
      <c r="M427" t="str">
        <f t="shared" si="91"/>
        <v>Leicester City</v>
      </c>
      <c r="N427">
        <f t="shared" ca="1" si="94"/>
        <v>4</v>
      </c>
      <c r="O427" t="str">
        <f t="shared" ca="1" si="95"/>
        <v>Draw</v>
      </c>
      <c r="P427" t="str">
        <f t="shared" ca="1" si="96"/>
        <v>Draw</v>
      </c>
      <c r="Q427" t="str">
        <f t="shared" ca="1" si="97"/>
        <v>Chelsea</v>
      </c>
      <c r="R427" t="str">
        <f t="shared" ca="1" si="98"/>
        <v>Leicester City</v>
      </c>
    </row>
    <row r="428" spans="5:18" x14ac:dyDescent="0.3">
      <c r="E428">
        <v>398</v>
      </c>
      <c r="F428" t="s">
        <v>16</v>
      </c>
      <c r="G428" s="1"/>
      <c r="H428" t="s">
        <v>0</v>
      </c>
      <c r="I428">
        <f t="shared" ca="1" si="99"/>
        <v>0.18701722678239918</v>
      </c>
      <c r="K428" t="str">
        <f t="shared" si="89"/>
        <v>West Ham United</v>
      </c>
      <c r="L428">
        <f t="shared" ca="1" si="90"/>
        <v>1</v>
      </c>
      <c r="M428" t="str">
        <f t="shared" si="91"/>
        <v>Manchester City</v>
      </c>
      <c r="N428">
        <f t="shared" ca="1" si="94"/>
        <v>3</v>
      </c>
      <c r="O428" t="str">
        <f t="shared" ca="1" si="95"/>
        <v>Manchester City</v>
      </c>
      <c r="P428" t="str">
        <f t="shared" ca="1" si="96"/>
        <v>West Ham United</v>
      </c>
      <c r="Q428" t="str">
        <f t="shared" ca="1" si="97"/>
        <v>Not Draw</v>
      </c>
      <c r="R428" t="str">
        <f t="shared" ca="1" si="98"/>
        <v>Not Draw</v>
      </c>
    </row>
    <row r="429" spans="5:18" x14ac:dyDescent="0.3">
      <c r="E429">
        <v>399</v>
      </c>
      <c r="F429" t="s">
        <v>12</v>
      </c>
      <c r="H429" t="s">
        <v>11</v>
      </c>
      <c r="I429">
        <f t="shared" ca="1" si="99"/>
        <v>0.64601202617275133</v>
      </c>
      <c r="K429" t="str">
        <f t="shared" si="89"/>
        <v>Southampton</v>
      </c>
      <c r="L429">
        <f t="shared" ca="1" si="90"/>
        <v>3</v>
      </c>
      <c r="M429" t="str">
        <f t="shared" si="91"/>
        <v>Crystal Palace</v>
      </c>
      <c r="N429">
        <f t="shared" ca="1" si="94"/>
        <v>0</v>
      </c>
      <c r="O429" t="str">
        <f t="shared" ca="1" si="95"/>
        <v>Southampton</v>
      </c>
      <c r="P429" t="str">
        <f t="shared" ca="1" si="96"/>
        <v>Crystal Palace</v>
      </c>
      <c r="Q429" t="str">
        <f t="shared" ca="1" si="97"/>
        <v>Not Draw</v>
      </c>
      <c r="R429" t="str">
        <f t="shared" ca="1" si="98"/>
        <v>Not Draw</v>
      </c>
    </row>
  </sheetData>
  <sortState ref="F420:I429">
    <sortCondition descending="1" ref="I420"/>
  </sortState>
  <conditionalFormatting sqref="AA2:AA11">
    <cfRule type="containsText" dxfId="19" priority="20" operator="containsText" text="Crystal Palace">
      <formula>NOT(ISERROR(SEARCH("Crystal Palace",AA2)))</formula>
    </cfRule>
  </conditionalFormatting>
  <conditionalFormatting sqref="AA2:AA11">
    <cfRule type="containsText" dxfId="18" priority="19" operator="containsText" text="Watford">
      <formula>NOT(ISERROR(SEARCH("Watford",AA2)))</formula>
    </cfRule>
  </conditionalFormatting>
  <conditionalFormatting sqref="AA2:AA11">
    <cfRule type="containsText" dxfId="17" priority="18" operator="containsText" text="Stoke City">
      <formula>NOT(ISERROR(SEARCH("Stoke City",AA2)))</formula>
    </cfRule>
  </conditionalFormatting>
  <conditionalFormatting sqref="AA2:AA11">
    <cfRule type="containsText" dxfId="16" priority="17" operator="containsText" text="Swansea City">
      <formula>NOT(ISERROR(SEARCH("Swansea City",AA2)))</formula>
    </cfRule>
  </conditionalFormatting>
  <conditionalFormatting sqref="AA2:AA11">
    <cfRule type="containsText" dxfId="15" priority="16" operator="containsText" text="Manchester City">
      <formula>NOT(ISERROR(SEARCH("Manchester City",AA2)))</formula>
    </cfRule>
  </conditionalFormatting>
  <conditionalFormatting sqref="AA2:AA11">
    <cfRule type="containsText" dxfId="14" priority="1" operator="containsText" text="Burnley">
      <formula>NOT(ISERROR(SEARCH("Burnley",AA2)))</formula>
    </cfRule>
  </conditionalFormatting>
  <conditionalFormatting sqref="AA2:AA11">
    <cfRule type="containsText" dxfId="13" priority="2" operator="containsText" text="Bournemouth">
      <formula>NOT(ISERROR(SEARCH("Bournemouth",AA2)))</formula>
    </cfRule>
  </conditionalFormatting>
  <conditionalFormatting sqref="AA2:AA11">
    <cfRule type="containsText" dxfId="12" priority="3" operator="containsText" text="Newcastle">
      <formula>NOT(ISERROR(SEARCH("Newcastle",AA2)))</formula>
    </cfRule>
  </conditionalFormatting>
  <conditionalFormatting sqref="AA2:AA11">
    <cfRule type="containsText" dxfId="11" priority="4" operator="containsText" text="Southampton">
      <formula>NOT(ISERROR(SEARCH("Southampton",AA2)))</formula>
    </cfRule>
  </conditionalFormatting>
  <conditionalFormatting sqref="AA2:AA11">
    <cfRule type="containsText" dxfId="10" priority="5" operator="containsText" text="Brighton">
      <formula>NOT(ISERROR(SEARCH("Brighton",AA2)))</formula>
    </cfRule>
  </conditionalFormatting>
  <conditionalFormatting sqref="AA2:AA11">
    <cfRule type="containsText" dxfId="9" priority="6" operator="containsText" text="Tottenham Hotspur">
      <formula>NOT(ISERROR(SEARCH("Tottenham Hotspur",AA2)))</formula>
    </cfRule>
  </conditionalFormatting>
  <conditionalFormatting sqref="AA2:AA11">
    <cfRule type="containsText" dxfId="8" priority="7" operator="containsText" text="Liverpool">
      <formula>NOT(ISERROR(SEARCH("Liverpool",AA2)))</formula>
    </cfRule>
  </conditionalFormatting>
  <conditionalFormatting sqref="AA2:AA11">
    <cfRule type="containsText" dxfId="7" priority="8" operator="containsText" text="West Bromwich">
      <formula>NOT(ISERROR(SEARCH("West Bromwich",AA2)))</formula>
    </cfRule>
  </conditionalFormatting>
  <conditionalFormatting sqref="AA2:AA11">
    <cfRule type="containsText" dxfId="6" priority="9" operator="containsText" text="Chelsea">
      <formula>NOT(ISERROR(SEARCH("Chelsea",AA2)))</formula>
    </cfRule>
  </conditionalFormatting>
  <conditionalFormatting sqref="AA2:AA11">
    <cfRule type="containsText" dxfId="5" priority="10" operator="containsText" text="Leicester City">
      <formula>NOT(ISERROR(SEARCH("Leicester City",AA2)))</formula>
    </cfRule>
  </conditionalFormatting>
  <conditionalFormatting sqref="AA2:AA11">
    <cfRule type="containsText" dxfId="4" priority="11" operator="containsText" text="Arsenal">
      <formula>NOT(ISERROR(SEARCH("Arsenal",AA2)))</formula>
    </cfRule>
  </conditionalFormatting>
  <conditionalFormatting sqref="AA2:AA11">
    <cfRule type="containsText" dxfId="3" priority="12" operator="containsText" text="West Ham United">
      <formula>NOT(ISERROR(SEARCH("West Ham United",AA2)))</formula>
    </cfRule>
  </conditionalFormatting>
  <conditionalFormatting sqref="AA2:AA11">
    <cfRule type="containsText" dxfId="2" priority="13" operator="containsText" text="Huddersfield">
      <formula>NOT(ISERROR(SEARCH("Huddersfield",AA2)))</formula>
    </cfRule>
  </conditionalFormatting>
  <conditionalFormatting sqref="AA2:AA11">
    <cfRule type="containsText" dxfId="1" priority="14" operator="containsText" text="Manchester United">
      <formula>NOT(ISERROR(SEARCH("Manchester United",AA2)))</formula>
    </cfRule>
  </conditionalFormatting>
  <conditionalFormatting sqref="AA2:AA11">
    <cfRule type="containsText" dxfId="0" priority="15" operator="containsText" text="Everton">
      <formula>NOT(ISERROR(SEARCH("Everton",AA2)))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63"/>
  <sheetViews>
    <sheetView workbookViewId="0">
      <selection activeCell="D2" sqref="D2:D11"/>
    </sheetView>
  </sheetViews>
  <sheetFormatPr defaultRowHeight="14.4" x14ac:dyDescent="0.3"/>
  <cols>
    <col min="1" max="1" width="10.77734375" customWidth="1"/>
    <col min="2" max="2" width="8.6640625" customWidth="1"/>
    <col min="3" max="3" width="8.21875" customWidth="1"/>
    <col min="4" max="4" width="7.109375" customWidth="1"/>
    <col min="5" max="5" width="15.6640625" customWidth="1"/>
    <col min="8" max="8" width="10.5546875" customWidth="1"/>
    <col min="12" max="12" width="18.5546875" customWidth="1"/>
    <col min="13" max="13" width="10.77734375" customWidth="1"/>
    <col min="14" max="14" width="10.5546875" customWidth="1"/>
    <col min="15" max="15" width="9.88671875" customWidth="1"/>
    <col min="16" max="16" width="10.77734375" customWidth="1"/>
    <col min="17" max="17" width="9.6640625" customWidth="1"/>
    <col min="18" max="18" width="10" customWidth="1"/>
    <col min="20" max="20" width="10.44140625" customWidth="1"/>
  </cols>
  <sheetData>
    <row r="1" spans="1:18" x14ac:dyDescent="0.3">
      <c r="F1" t="s">
        <v>27</v>
      </c>
      <c r="G1" t="s">
        <v>35</v>
      </c>
      <c r="H1" t="s">
        <v>36</v>
      </c>
      <c r="I1" t="s">
        <v>37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</row>
    <row r="2" spans="1:18" x14ac:dyDescent="0.3">
      <c r="A2" s="46" t="s">
        <v>66</v>
      </c>
      <c r="B2" s="47" t="s">
        <v>64</v>
      </c>
      <c r="C2" s="48" t="s">
        <v>24</v>
      </c>
      <c r="D2" s="47" t="s">
        <v>64</v>
      </c>
      <c r="E2" s="46" t="s">
        <v>66</v>
      </c>
      <c r="F2" t="str">
        <f>IF(B2=D2,"Draw",IF(B2&gt;D2,A2,E2))</f>
        <v>Draw</v>
      </c>
      <c r="G2" t="str">
        <f>IF(B2=D2,"Draw",IF(B2&gt;D2,E2,A2))</f>
        <v>Draw</v>
      </c>
      <c r="H2" t="str">
        <f>IF(B2=D2,A2,"Not Draw")</f>
        <v>No Team</v>
      </c>
      <c r="I2" t="str">
        <f>IF(B2=D2,E2,"Not Draw")</f>
        <v>No Team</v>
      </c>
      <c r="L2" t="s">
        <v>3</v>
      </c>
      <c r="M2">
        <v>0</v>
      </c>
      <c r="N2" t="str">
        <f t="shared" ref="N2:N3" si="0">_xlfn.IFNA(IF(MATCH(L2,$F$2:$F$11,0)&gt;0,"Yes","No"),"No")</f>
        <v>No</v>
      </c>
      <c r="O2" t="str">
        <f>_xlfn.IFNA(IF(MATCH(L2,$G$2:$G$11,0)&gt;0,"Yes","No"),"No")</f>
        <v>No</v>
      </c>
      <c r="P2" t="str">
        <f>_xlfn.IFNA(_xlfn.IFNA(IF(MATCH(L2,$H$2:$H$11,0)&gt;0,"Yes","Check Formula"),IF(MATCH(L2,$I$2:$I$11,0)&gt;0,"Yes","No")),"No")</f>
        <v>No</v>
      </c>
      <c r="Q2">
        <f>IF(N2="Yes",3,IF(O2="Yes",0,IF(P2="Yes",1,0)))</f>
        <v>0</v>
      </c>
      <c r="R2">
        <f>SUM(M2,Q2)</f>
        <v>0</v>
      </c>
    </row>
    <row r="3" spans="1:18" x14ac:dyDescent="0.3">
      <c r="A3" s="46" t="s">
        <v>66</v>
      </c>
      <c r="B3" s="47" t="s">
        <v>64</v>
      </c>
      <c r="C3" s="48" t="s">
        <v>24</v>
      </c>
      <c r="D3" s="47" t="s">
        <v>64</v>
      </c>
      <c r="E3" s="46" t="s">
        <v>66</v>
      </c>
      <c r="F3" t="str">
        <f t="shared" ref="F3:F11" si="1">IF(B3=D3,"Draw",IF(B3&gt;D3,A3,E3))</f>
        <v>Draw</v>
      </c>
      <c r="G3" t="str">
        <f t="shared" ref="G3:G11" si="2">IF(B3=D3,"Draw",IF(B3&gt;D3,E3,A3))</f>
        <v>Draw</v>
      </c>
      <c r="H3" t="str">
        <f t="shared" ref="H3:H11" si="3">IF(B3=D3,A3,"Not Draw")</f>
        <v>No Team</v>
      </c>
      <c r="I3" t="str">
        <f t="shared" ref="I3:I11" si="4">IF(B3=D3,E3,"Not Draw")</f>
        <v>No Team</v>
      </c>
      <c r="L3" t="s">
        <v>9</v>
      </c>
      <c r="M3">
        <v>0</v>
      </c>
      <c r="N3" t="str">
        <f t="shared" si="0"/>
        <v>No</v>
      </c>
      <c r="O3" t="str">
        <f t="shared" ref="O3:O21" si="5">_xlfn.IFNA(IF(MATCH(L3,$G$2:$G$11,0)&gt;0,"Yes","No"),"No")</f>
        <v>No</v>
      </c>
      <c r="P3" t="str">
        <f t="shared" ref="P3:P21" si="6">_xlfn.IFNA(_xlfn.IFNA(IF(MATCH(L3,$H$2:$H$11,0)&gt;0,"Yes","Check Formula"),IF(MATCH(L3,$I$2:$I$11,0)&gt;0,"Yes","No")),"No")</f>
        <v>No</v>
      </c>
      <c r="Q3">
        <f>IF(N3="Yes",3,IF(O3="Yes",0,IF(P3="Yes",1,0)))</f>
        <v>0</v>
      </c>
      <c r="R3">
        <f t="shared" ref="R3:R21" si="7">SUM(M3,Q3)</f>
        <v>0</v>
      </c>
    </row>
    <row r="4" spans="1:18" x14ac:dyDescent="0.3">
      <c r="A4" s="46" t="s">
        <v>66</v>
      </c>
      <c r="B4" s="47" t="s">
        <v>64</v>
      </c>
      <c r="C4" s="48" t="s">
        <v>24</v>
      </c>
      <c r="D4" s="47" t="s">
        <v>64</v>
      </c>
      <c r="E4" s="46" t="s">
        <v>66</v>
      </c>
      <c r="F4" t="str">
        <f t="shared" si="1"/>
        <v>Draw</v>
      </c>
      <c r="G4" t="str">
        <f t="shared" si="2"/>
        <v>Draw</v>
      </c>
      <c r="H4" t="str">
        <f t="shared" si="3"/>
        <v>No Team</v>
      </c>
      <c r="I4" t="str">
        <f t="shared" si="4"/>
        <v>No Team</v>
      </c>
      <c r="L4" t="s">
        <v>10</v>
      </c>
      <c r="M4">
        <v>0</v>
      </c>
      <c r="N4" t="str">
        <f>_xlfn.IFNA(IF(MATCH(L4,$F$2:$F$11,0)&gt;0,"Yes","No"),"No")</f>
        <v>No</v>
      </c>
      <c r="O4" t="str">
        <f t="shared" si="5"/>
        <v>No</v>
      </c>
      <c r="P4" t="str">
        <f t="shared" si="6"/>
        <v>No</v>
      </c>
      <c r="Q4">
        <f t="shared" ref="Q4:Q21" si="8">IF(N4="Yes",3,IF(O4="Yes",0,IF(P4="Yes",1,0)))</f>
        <v>0</v>
      </c>
      <c r="R4">
        <f t="shared" si="7"/>
        <v>0</v>
      </c>
    </row>
    <row r="5" spans="1:18" x14ac:dyDescent="0.3">
      <c r="A5" s="46" t="s">
        <v>66</v>
      </c>
      <c r="B5" s="47" t="s">
        <v>64</v>
      </c>
      <c r="C5" s="48" t="s">
        <v>24</v>
      </c>
      <c r="D5" s="47" t="s">
        <v>64</v>
      </c>
      <c r="E5" s="46" t="s">
        <v>66</v>
      </c>
      <c r="F5" t="str">
        <f t="shared" si="1"/>
        <v>Draw</v>
      </c>
      <c r="G5" t="str">
        <f t="shared" si="2"/>
        <v>Draw</v>
      </c>
      <c r="H5" t="str">
        <f t="shared" si="3"/>
        <v>No Team</v>
      </c>
      <c r="I5" t="str">
        <f t="shared" si="4"/>
        <v>No Team</v>
      </c>
      <c r="L5" t="s">
        <v>7</v>
      </c>
      <c r="M5">
        <v>0</v>
      </c>
      <c r="N5" t="str">
        <f t="shared" ref="N5:N21" si="9">_xlfn.IFNA(IF(MATCH(L5,$F$2:$F$11,0)&gt;0,"Yes","No"),"No")</f>
        <v>No</v>
      </c>
      <c r="O5" t="str">
        <f t="shared" si="5"/>
        <v>No</v>
      </c>
      <c r="P5" t="str">
        <f t="shared" si="6"/>
        <v>No</v>
      </c>
      <c r="Q5">
        <f t="shared" si="8"/>
        <v>0</v>
      </c>
      <c r="R5">
        <f t="shared" si="7"/>
        <v>0</v>
      </c>
    </row>
    <row r="6" spans="1:18" x14ac:dyDescent="0.3">
      <c r="A6" s="46" t="s">
        <v>66</v>
      </c>
      <c r="B6" s="47" t="s">
        <v>64</v>
      </c>
      <c r="C6" s="48" t="s">
        <v>24</v>
      </c>
      <c r="D6" s="47" t="s">
        <v>64</v>
      </c>
      <c r="E6" s="46" t="s">
        <v>66</v>
      </c>
      <c r="F6" t="str">
        <f t="shared" si="1"/>
        <v>Draw</v>
      </c>
      <c r="G6" t="str">
        <f t="shared" si="2"/>
        <v>Draw</v>
      </c>
      <c r="H6" t="str">
        <f t="shared" si="3"/>
        <v>No Team</v>
      </c>
      <c r="I6" t="str">
        <f t="shared" si="4"/>
        <v>No Team</v>
      </c>
      <c r="L6" t="s">
        <v>2</v>
      </c>
      <c r="M6">
        <v>0</v>
      </c>
      <c r="N6" t="str">
        <f t="shared" si="9"/>
        <v>No</v>
      </c>
      <c r="O6" t="str">
        <f t="shared" si="5"/>
        <v>No</v>
      </c>
      <c r="P6" t="str">
        <f t="shared" si="6"/>
        <v>No</v>
      </c>
      <c r="Q6">
        <f t="shared" si="8"/>
        <v>0</v>
      </c>
      <c r="R6">
        <f t="shared" si="7"/>
        <v>0</v>
      </c>
    </row>
    <row r="7" spans="1:18" x14ac:dyDescent="0.3">
      <c r="A7" s="46" t="s">
        <v>66</v>
      </c>
      <c r="B7" s="47" t="s">
        <v>64</v>
      </c>
      <c r="C7" s="48" t="s">
        <v>24</v>
      </c>
      <c r="D7" s="47" t="s">
        <v>64</v>
      </c>
      <c r="E7" s="46" t="s">
        <v>66</v>
      </c>
      <c r="F7" t="str">
        <f t="shared" si="1"/>
        <v>Draw</v>
      </c>
      <c r="G7" t="str">
        <f t="shared" si="2"/>
        <v>Draw</v>
      </c>
      <c r="H7" t="str">
        <f t="shared" si="3"/>
        <v>No Team</v>
      </c>
      <c r="I7" t="str">
        <f t="shared" si="4"/>
        <v>No Team</v>
      </c>
      <c r="L7" t="s">
        <v>11</v>
      </c>
      <c r="M7">
        <v>0</v>
      </c>
      <c r="N7" t="str">
        <f t="shared" si="9"/>
        <v>No</v>
      </c>
      <c r="O7" t="str">
        <f t="shared" si="5"/>
        <v>No</v>
      </c>
      <c r="P7" t="str">
        <f t="shared" si="6"/>
        <v>No</v>
      </c>
      <c r="Q7">
        <f t="shared" si="8"/>
        <v>0</v>
      </c>
      <c r="R7">
        <f t="shared" si="7"/>
        <v>0</v>
      </c>
    </row>
    <row r="8" spans="1:18" x14ac:dyDescent="0.3">
      <c r="A8" s="46" t="s">
        <v>66</v>
      </c>
      <c r="B8" s="47" t="s">
        <v>64</v>
      </c>
      <c r="C8" s="48" t="s">
        <v>24</v>
      </c>
      <c r="D8" s="47" t="s">
        <v>64</v>
      </c>
      <c r="E8" s="46" t="s">
        <v>66</v>
      </c>
      <c r="F8" t="str">
        <f t="shared" si="1"/>
        <v>Draw</v>
      </c>
      <c r="G8" t="str">
        <f t="shared" si="2"/>
        <v>Draw</v>
      </c>
      <c r="H8" t="str">
        <f t="shared" si="3"/>
        <v>No Team</v>
      </c>
      <c r="I8" t="str">
        <f t="shared" si="4"/>
        <v>No Team</v>
      </c>
      <c r="L8" t="s">
        <v>6</v>
      </c>
      <c r="M8">
        <v>0</v>
      </c>
      <c r="N8" t="str">
        <f t="shared" si="9"/>
        <v>No</v>
      </c>
      <c r="O8" t="str">
        <f t="shared" si="5"/>
        <v>No</v>
      </c>
      <c r="P8" t="str">
        <f t="shared" si="6"/>
        <v>No</v>
      </c>
      <c r="Q8">
        <f t="shared" si="8"/>
        <v>0</v>
      </c>
      <c r="R8">
        <f t="shared" si="7"/>
        <v>0</v>
      </c>
    </row>
    <row r="9" spans="1:18" x14ac:dyDescent="0.3">
      <c r="A9" s="46" t="s">
        <v>66</v>
      </c>
      <c r="B9" s="47" t="s">
        <v>64</v>
      </c>
      <c r="C9" s="48" t="s">
        <v>24</v>
      </c>
      <c r="D9" s="47" t="s">
        <v>64</v>
      </c>
      <c r="E9" s="46" t="s">
        <v>66</v>
      </c>
      <c r="F9" t="str">
        <f t="shared" si="1"/>
        <v>Draw</v>
      </c>
      <c r="G9" t="str">
        <f t="shared" si="2"/>
        <v>Draw</v>
      </c>
      <c r="H9" t="str">
        <f t="shared" si="3"/>
        <v>No Team</v>
      </c>
      <c r="I9" t="str">
        <f t="shared" si="4"/>
        <v>No Team</v>
      </c>
      <c r="L9" t="s">
        <v>14</v>
      </c>
      <c r="M9">
        <v>0</v>
      </c>
      <c r="N9" t="str">
        <f t="shared" si="9"/>
        <v>No</v>
      </c>
      <c r="O9" t="str">
        <f t="shared" si="5"/>
        <v>No</v>
      </c>
      <c r="P9" t="str">
        <f t="shared" si="6"/>
        <v>No</v>
      </c>
      <c r="Q9">
        <f t="shared" si="8"/>
        <v>0</v>
      </c>
      <c r="R9">
        <f t="shared" si="7"/>
        <v>0</v>
      </c>
    </row>
    <row r="10" spans="1:18" x14ac:dyDescent="0.3">
      <c r="A10" s="46" t="s">
        <v>66</v>
      </c>
      <c r="B10" s="47" t="s">
        <v>64</v>
      </c>
      <c r="C10" s="48" t="s">
        <v>24</v>
      </c>
      <c r="D10" s="47" t="s">
        <v>64</v>
      </c>
      <c r="E10" s="46" t="s">
        <v>66</v>
      </c>
      <c r="F10" t="str">
        <f t="shared" si="1"/>
        <v>Draw</v>
      </c>
      <c r="G10" t="str">
        <f t="shared" si="2"/>
        <v>Draw</v>
      </c>
      <c r="H10" t="str">
        <f t="shared" si="3"/>
        <v>No Team</v>
      </c>
      <c r="I10" t="str">
        <f t="shared" si="4"/>
        <v>No Team</v>
      </c>
      <c r="L10" t="s">
        <v>18</v>
      </c>
      <c r="M10">
        <v>0</v>
      </c>
      <c r="N10" t="str">
        <f t="shared" si="9"/>
        <v>No</v>
      </c>
      <c r="O10" t="str">
        <f t="shared" si="5"/>
        <v>No</v>
      </c>
      <c r="P10" t="str">
        <f t="shared" si="6"/>
        <v>No</v>
      </c>
      <c r="Q10">
        <f t="shared" si="8"/>
        <v>0</v>
      </c>
      <c r="R10">
        <f t="shared" si="7"/>
        <v>0</v>
      </c>
    </row>
    <row r="11" spans="1:18" x14ac:dyDescent="0.3">
      <c r="A11" s="46" t="s">
        <v>66</v>
      </c>
      <c r="B11" s="47" t="s">
        <v>64</v>
      </c>
      <c r="C11" s="48" t="s">
        <v>24</v>
      </c>
      <c r="D11" s="47" t="s">
        <v>64</v>
      </c>
      <c r="E11" s="46" t="s">
        <v>66</v>
      </c>
      <c r="F11" t="str">
        <f t="shared" si="1"/>
        <v>Draw</v>
      </c>
      <c r="G11" t="str">
        <f t="shared" si="2"/>
        <v>Draw</v>
      </c>
      <c r="H11" t="str">
        <f t="shared" si="3"/>
        <v>No Team</v>
      </c>
      <c r="I11" t="str">
        <f t="shared" si="4"/>
        <v>No Team</v>
      </c>
      <c r="L11" t="s">
        <v>5</v>
      </c>
      <c r="M11">
        <v>0</v>
      </c>
      <c r="N11" t="str">
        <f t="shared" si="9"/>
        <v>No</v>
      </c>
      <c r="O11" t="str">
        <f t="shared" si="5"/>
        <v>No</v>
      </c>
      <c r="P11" t="str">
        <f t="shared" si="6"/>
        <v>No</v>
      </c>
      <c r="Q11">
        <f t="shared" si="8"/>
        <v>0</v>
      </c>
      <c r="R11">
        <f t="shared" si="7"/>
        <v>0</v>
      </c>
    </row>
    <row r="12" spans="1:18" x14ac:dyDescent="0.3">
      <c r="B12" s="53" t="s">
        <v>69</v>
      </c>
      <c r="C12" t="s">
        <v>58</v>
      </c>
      <c r="D12" t="s">
        <v>59</v>
      </c>
      <c r="E12" t="s">
        <v>60</v>
      </c>
      <c r="F12" t="s">
        <v>61</v>
      </c>
      <c r="G12" t="s">
        <v>62</v>
      </c>
      <c r="H12" t="s">
        <v>63</v>
      </c>
      <c r="I12" t="s">
        <v>70</v>
      </c>
      <c r="L12" t="s">
        <v>0</v>
      </c>
      <c r="M12">
        <v>0</v>
      </c>
      <c r="N12" t="str">
        <f t="shared" si="9"/>
        <v>No</v>
      </c>
      <c r="O12" t="str">
        <f t="shared" si="5"/>
        <v>No</v>
      </c>
      <c r="P12" t="str">
        <f t="shared" si="6"/>
        <v>No</v>
      </c>
      <c r="Q12">
        <f t="shared" si="8"/>
        <v>0</v>
      </c>
      <c r="R12">
        <f t="shared" si="7"/>
        <v>0</v>
      </c>
    </row>
    <row r="13" spans="1:18" x14ac:dyDescent="0.3">
      <c r="A13" t="s">
        <v>3</v>
      </c>
      <c r="B13" t="s">
        <v>64</v>
      </c>
      <c r="C13" t="s">
        <v>64</v>
      </c>
      <c r="D13" t="s">
        <v>64</v>
      </c>
      <c r="E13" t="s">
        <v>64</v>
      </c>
      <c r="F13" t="s">
        <v>64</v>
      </c>
      <c r="G13" t="s">
        <v>64</v>
      </c>
      <c r="H13" t="str">
        <f t="shared" ref="H13:H32" si="10">IF(VLOOKUP(A13,$L$2:$P$21,3)="Yes","W",IF(VLOOKUP(A13,$L$2:$P$21,4)="Yes","L",IF(VLOOKUP(A13,$L$2:$P$21,5)="Yes","D","N")))</f>
        <v>N</v>
      </c>
      <c r="I13" t="str">
        <f>IF(B13="N","Yes",IF(C13="N","Yes",IF(D13="N","Yes",IF(E13="N","Yes",IF(F13="N","Yes",IF(G13="N","Yes","No"))))))</f>
        <v>No</v>
      </c>
      <c r="L13" t="s">
        <v>1</v>
      </c>
      <c r="M13">
        <v>0</v>
      </c>
      <c r="N13" t="str">
        <f t="shared" si="9"/>
        <v>No</v>
      </c>
      <c r="O13" t="str">
        <f t="shared" si="5"/>
        <v>No</v>
      </c>
      <c r="P13" t="str">
        <f t="shared" si="6"/>
        <v>No</v>
      </c>
      <c r="Q13">
        <f t="shared" si="8"/>
        <v>0</v>
      </c>
      <c r="R13">
        <f t="shared" si="7"/>
        <v>0</v>
      </c>
    </row>
    <row r="14" spans="1:18" x14ac:dyDescent="0.3">
      <c r="A14" t="s">
        <v>9</v>
      </c>
      <c r="B14" t="s">
        <v>64</v>
      </c>
      <c r="C14" t="s">
        <v>64</v>
      </c>
      <c r="D14" t="s">
        <v>64</v>
      </c>
      <c r="E14" t="s">
        <v>64</v>
      </c>
      <c r="F14" t="s">
        <v>64</v>
      </c>
      <c r="G14" t="s">
        <v>64</v>
      </c>
      <c r="H14" t="str">
        <f t="shared" si="10"/>
        <v>N</v>
      </c>
      <c r="I14" t="str">
        <f t="shared" ref="I14:I32" si="11">IF(B14="N","Yes",IF(C14="N","Yes",IF(D14="N","Yes",IF(E14="N","Yes",IF(F14="N","Yes",IF(G14="N","Yes","No"))))))</f>
        <v>No</v>
      </c>
      <c r="L14" t="s">
        <v>23</v>
      </c>
      <c r="M14">
        <v>0</v>
      </c>
      <c r="N14" t="str">
        <f t="shared" si="9"/>
        <v>No</v>
      </c>
      <c r="O14" t="str">
        <f t="shared" si="5"/>
        <v>No</v>
      </c>
      <c r="P14" t="str">
        <f t="shared" si="6"/>
        <v>No</v>
      </c>
      <c r="Q14">
        <f t="shared" si="8"/>
        <v>0</v>
      </c>
      <c r="R14">
        <f t="shared" si="7"/>
        <v>0</v>
      </c>
    </row>
    <row r="15" spans="1:18" x14ac:dyDescent="0.3">
      <c r="A15" t="s">
        <v>10</v>
      </c>
      <c r="B15" t="s">
        <v>64</v>
      </c>
      <c r="C15" t="s">
        <v>64</v>
      </c>
      <c r="D15" t="s">
        <v>64</v>
      </c>
      <c r="E15" t="s">
        <v>64</v>
      </c>
      <c r="F15" t="s">
        <v>64</v>
      </c>
      <c r="G15" t="s">
        <v>64</v>
      </c>
      <c r="H15" t="str">
        <f t="shared" si="10"/>
        <v>N</v>
      </c>
      <c r="I15" t="str">
        <f t="shared" si="11"/>
        <v>No</v>
      </c>
      <c r="L15" t="s">
        <v>12</v>
      </c>
      <c r="M15">
        <v>0</v>
      </c>
      <c r="N15" t="str">
        <f t="shared" si="9"/>
        <v>No</v>
      </c>
      <c r="O15" t="str">
        <f t="shared" si="5"/>
        <v>No</v>
      </c>
      <c r="P15" t="str">
        <f t="shared" si="6"/>
        <v>No</v>
      </c>
      <c r="Q15">
        <f t="shared" si="8"/>
        <v>0</v>
      </c>
      <c r="R15">
        <f t="shared" si="7"/>
        <v>0</v>
      </c>
    </row>
    <row r="16" spans="1:18" x14ac:dyDescent="0.3">
      <c r="A16" t="s">
        <v>7</v>
      </c>
      <c r="B16" t="s">
        <v>64</v>
      </c>
      <c r="C16" t="s">
        <v>64</v>
      </c>
      <c r="D16" t="s">
        <v>64</v>
      </c>
      <c r="E16" t="s">
        <v>64</v>
      </c>
      <c r="F16" t="s">
        <v>64</v>
      </c>
      <c r="G16" t="s">
        <v>64</v>
      </c>
      <c r="H16" t="str">
        <f t="shared" si="10"/>
        <v>N</v>
      </c>
      <c r="I16" t="str">
        <f t="shared" si="11"/>
        <v>No</v>
      </c>
      <c r="L16" t="s">
        <v>17</v>
      </c>
      <c r="M16">
        <v>0</v>
      </c>
      <c r="N16" t="str">
        <f t="shared" si="9"/>
        <v>No</v>
      </c>
      <c r="O16" t="str">
        <f t="shared" si="5"/>
        <v>No</v>
      </c>
      <c r="P16" t="str">
        <f t="shared" si="6"/>
        <v>No</v>
      </c>
      <c r="Q16">
        <f t="shared" si="8"/>
        <v>0</v>
      </c>
      <c r="R16">
        <f t="shared" si="7"/>
        <v>0</v>
      </c>
    </row>
    <row r="17" spans="1:21" x14ac:dyDescent="0.3">
      <c r="A17" t="s">
        <v>2</v>
      </c>
      <c r="B17" t="s">
        <v>64</v>
      </c>
      <c r="C17" t="s">
        <v>64</v>
      </c>
      <c r="D17" t="s">
        <v>64</v>
      </c>
      <c r="E17" t="s">
        <v>64</v>
      </c>
      <c r="F17" t="s">
        <v>64</v>
      </c>
      <c r="G17" t="s">
        <v>64</v>
      </c>
      <c r="H17" t="str">
        <f t="shared" si="10"/>
        <v>N</v>
      </c>
      <c r="I17" t="str">
        <f t="shared" si="11"/>
        <v>No</v>
      </c>
      <c r="L17" t="s">
        <v>13</v>
      </c>
      <c r="M17">
        <v>0</v>
      </c>
      <c r="N17" t="str">
        <f t="shared" si="9"/>
        <v>No</v>
      </c>
      <c r="O17" t="str">
        <f t="shared" si="5"/>
        <v>No</v>
      </c>
      <c r="P17" t="str">
        <f t="shared" si="6"/>
        <v>No</v>
      </c>
      <c r="Q17">
        <f t="shared" si="8"/>
        <v>0</v>
      </c>
      <c r="R17">
        <f t="shared" si="7"/>
        <v>0</v>
      </c>
    </row>
    <row r="18" spans="1:21" x14ac:dyDescent="0.3">
      <c r="A18" t="s">
        <v>11</v>
      </c>
      <c r="B18" t="s">
        <v>64</v>
      </c>
      <c r="C18" t="s">
        <v>64</v>
      </c>
      <c r="D18" t="s">
        <v>64</v>
      </c>
      <c r="E18" t="s">
        <v>64</v>
      </c>
      <c r="F18" t="s">
        <v>64</v>
      </c>
      <c r="G18" t="s">
        <v>64</v>
      </c>
      <c r="H18" t="str">
        <f t="shared" si="10"/>
        <v>N</v>
      </c>
      <c r="I18" t="str">
        <f t="shared" si="11"/>
        <v>No</v>
      </c>
      <c r="L18" t="s">
        <v>4</v>
      </c>
      <c r="M18">
        <v>0</v>
      </c>
      <c r="N18" t="str">
        <f t="shared" si="9"/>
        <v>No</v>
      </c>
      <c r="O18" t="str">
        <f t="shared" si="5"/>
        <v>No</v>
      </c>
      <c r="P18" t="str">
        <f t="shared" si="6"/>
        <v>No</v>
      </c>
      <c r="Q18">
        <f t="shared" si="8"/>
        <v>0</v>
      </c>
      <c r="R18">
        <f t="shared" si="7"/>
        <v>0</v>
      </c>
    </row>
    <row r="19" spans="1:21" x14ac:dyDescent="0.3">
      <c r="A19" t="s">
        <v>6</v>
      </c>
      <c r="B19" t="s">
        <v>64</v>
      </c>
      <c r="C19" t="s">
        <v>64</v>
      </c>
      <c r="D19" t="s">
        <v>64</v>
      </c>
      <c r="E19" t="s">
        <v>64</v>
      </c>
      <c r="F19" t="s">
        <v>64</v>
      </c>
      <c r="G19" t="s">
        <v>64</v>
      </c>
      <c r="H19" t="str">
        <f t="shared" si="10"/>
        <v>N</v>
      </c>
      <c r="I19" t="str">
        <f t="shared" si="11"/>
        <v>No</v>
      </c>
      <c r="L19" t="s">
        <v>8</v>
      </c>
      <c r="M19">
        <v>0</v>
      </c>
      <c r="N19" t="str">
        <f t="shared" si="9"/>
        <v>No</v>
      </c>
      <c r="O19" t="str">
        <f t="shared" si="5"/>
        <v>No</v>
      </c>
      <c r="P19" t="str">
        <f t="shared" si="6"/>
        <v>No</v>
      </c>
      <c r="Q19">
        <f t="shared" si="8"/>
        <v>0</v>
      </c>
      <c r="R19">
        <f t="shared" si="7"/>
        <v>0</v>
      </c>
    </row>
    <row r="20" spans="1:21" x14ac:dyDescent="0.3">
      <c r="A20" t="s">
        <v>14</v>
      </c>
      <c r="B20" t="s">
        <v>64</v>
      </c>
      <c r="C20" t="s">
        <v>64</v>
      </c>
      <c r="D20" t="s">
        <v>64</v>
      </c>
      <c r="E20" t="s">
        <v>64</v>
      </c>
      <c r="F20" t="s">
        <v>64</v>
      </c>
      <c r="G20" t="s">
        <v>64</v>
      </c>
      <c r="H20" t="str">
        <f t="shared" si="10"/>
        <v>N</v>
      </c>
      <c r="I20" t="str">
        <f t="shared" si="11"/>
        <v>No</v>
      </c>
      <c r="L20" t="s">
        <v>15</v>
      </c>
      <c r="M20">
        <v>0</v>
      </c>
      <c r="N20" t="str">
        <f t="shared" si="9"/>
        <v>No</v>
      </c>
      <c r="O20" t="str">
        <f t="shared" si="5"/>
        <v>No</v>
      </c>
      <c r="P20" t="str">
        <f t="shared" si="6"/>
        <v>No</v>
      </c>
      <c r="Q20">
        <f t="shared" si="8"/>
        <v>0</v>
      </c>
      <c r="R20">
        <f t="shared" si="7"/>
        <v>0</v>
      </c>
    </row>
    <row r="21" spans="1:21" x14ac:dyDescent="0.3">
      <c r="A21" t="s">
        <v>18</v>
      </c>
      <c r="B21" t="s">
        <v>64</v>
      </c>
      <c r="C21" t="s">
        <v>64</v>
      </c>
      <c r="D21" t="s">
        <v>64</v>
      </c>
      <c r="E21" t="s">
        <v>64</v>
      </c>
      <c r="F21" t="s">
        <v>64</v>
      </c>
      <c r="G21" t="s">
        <v>64</v>
      </c>
      <c r="H21" t="str">
        <f t="shared" si="10"/>
        <v>N</v>
      </c>
      <c r="I21" t="str">
        <f t="shared" si="11"/>
        <v>No</v>
      </c>
      <c r="L21" t="s">
        <v>16</v>
      </c>
      <c r="M21">
        <v>0</v>
      </c>
      <c r="N21" t="str">
        <f t="shared" si="9"/>
        <v>No</v>
      </c>
      <c r="O21" t="str">
        <f t="shared" si="5"/>
        <v>No</v>
      </c>
      <c r="P21" t="str">
        <f t="shared" si="6"/>
        <v>No</v>
      </c>
      <c r="Q21">
        <f t="shared" si="8"/>
        <v>0</v>
      </c>
      <c r="R21">
        <f t="shared" si="7"/>
        <v>0</v>
      </c>
    </row>
    <row r="22" spans="1:21" x14ac:dyDescent="0.3">
      <c r="A22" t="s">
        <v>5</v>
      </c>
      <c r="B22" t="s">
        <v>64</v>
      </c>
      <c r="C22" t="s">
        <v>64</v>
      </c>
      <c r="D22" t="s">
        <v>64</v>
      </c>
      <c r="E22" t="s">
        <v>64</v>
      </c>
      <c r="F22" t="s">
        <v>64</v>
      </c>
      <c r="G22" t="s">
        <v>64</v>
      </c>
      <c r="H22" t="str">
        <f t="shared" si="10"/>
        <v>N</v>
      </c>
      <c r="I22" t="str">
        <f t="shared" si="11"/>
        <v>No</v>
      </c>
      <c r="M22" t="s">
        <v>45</v>
      </c>
      <c r="N22" t="s">
        <v>47</v>
      </c>
      <c r="O22" t="s">
        <v>46</v>
      </c>
      <c r="P22" t="s">
        <v>48</v>
      </c>
      <c r="Q22" t="s">
        <v>49</v>
      </c>
      <c r="R22" t="s">
        <v>50</v>
      </c>
      <c r="S22" t="s">
        <v>51</v>
      </c>
      <c r="T22" t="s">
        <v>53</v>
      </c>
      <c r="U22" t="s">
        <v>52</v>
      </c>
    </row>
    <row r="23" spans="1:21" x14ac:dyDescent="0.3">
      <c r="A23" t="s">
        <v>0</v>
      </c>
      <c r="B23" t="s">
        <v>64</v>
      </c>
      <c r="C23" t="s">
        <v>64</v>
      </c>
      <c r="D23" t="s">
        <v>64</v>
      </c>
      <c r="E23" t="s">
        <v>64</v>
      </c>
      <c r="F23" t="s">
        <v>64</v>
      </c>
      <c r="G23" t="s">
        <v>64</v>
      </c>
      <c r="H23" t="str">
        <f t="shared" si="10"/>
        <v>N</v>
      </c>
      <c r="I23" t="str">
        <f t="shared" si="11"/>
        <v>No</v>
      </c>
      <c r="L23" t="s">
        <v>3</v>
      </c>
      <c r="M23">
        <v>0</v>
      </c>
      <c r="N23">
        <v>0</v>
      </c>
      <c r="O23">
        <v>0</v>
      </c>
      <c r="P23">
        <f>(IF(VLOOKUP(L23,$L$2:$R$21,3,0)="Yes",1,0))</f>
        <v>0</v>
      </c>
      <c r="Q23">
        <f>(IF(VLOOKUP(L23,$L$2:$R$21,4,0)="Yes",1,0))</f>
        <v>0</v>
      </c>
      <c r="R23">
        <f>(IF(VLOOKUP(L23,$L$2:$R$21,5,0)="Yes",1,0))</f>
        <v>0</v>
      </c>
      <c r="S23">
        <f>SUM(M23,P23)</f>
        <v>0</v>
      </c>
      <c r="T23">
        <f t="shared" ref="T23:U38" si="12">SUM(N23,Q23)</f>
        <v>0</v>
      </c>
      <c r="U23">
        <f t="shared" si="12"/>
        <v>0</v>
      </c>
    </row>
    <row r="24" spans="1:21" x14ac:dyDescent="0.3">
      <c r="A24" t="s">
        <v>1</v>
      </c>
      <c r="B24" t="s">
        <v>64</v>
      </c>
      <c r="C24" t="s">
        <v>64</v>
      </c>
      <c r="D24" t="s">
        <v>64</v>
      </c>
      <c r="E24" t="s">
        <v>64</v>
      </c>
      <c r="F24" t="s">
        <v>64</v>
      </c>
      <c r="G24" t="s">
        <v>64</v>
      </c>
      <c r="H24" t="str">
        <f t="shared" si="10"/>
        <v>N</v>
      </c>
      <c r="I24" t="str">
        <f t="shared" si="11"/>
        <v>No</v>
      </c>
      <c r="L24" t="s">
        <v>9</v>
      </c>
      <c r="M24">
        <v>0</v>
      </c>
      <c r="N24">
        <v>0</v>
      </c>
      <c r="O24">
        <v>0</v>
      </c>
      <c r="P24">
        <f t="shared" ref="P24:P42" si="13">(IF(VLOOKUP(L24,$L$2:$R$21,3,0)="Yes",1,0))</f>
        <v>0</v>
      </c>
      <c r="Q24">
        <f t="shared" ref="Q24:Q42" si="14">(IF(VLOOKUP(L24,$L$2:$R$21,4,0)="Yes",1,0))</f>
        <v>0</v>
      </c>
      <c r="R24">
        <f t="shared" ref="R24:R42" si="15">(IF(VLOOKUP(L24,$L$2:$R$21,5,0)="Yes",1,0))</f>
        <v>0</v>
      </c>
      <c r="S24">
        <f t="shared" ref="S24:U42" si="16">SUM(M24,P24)</f>
        <v>0</v>
      </c>
      <c r="T24">
        <f t="shared" si="12"/>
        <v>0</v>
      </c>
      <c r="U24">
        <f t="shared" si="12"/>
        <v>0</v>
      </c>
    </row>
    <row r="25" spans="1:21" x14ac:dyDescent="0.3">
      <c r="A25" t="s">
        <v>23</v>
      </c>
      <c r="B25" t="s">
        <v>64</v>
      </c>
      <c r="C25" t="s">
        <v>64</v>
      </c>
      <c r="D25" t="s">
        <v>64</v>
      </c>
      <c r="E25" t="s">
        <v>64</v>
      </c>
      <c r="F25" t="s">
        <v>64</v>
      </c>
      <c r="G25" t="s">
        <v>64</v>
      </c>
      <c r="H25" t="str">
        <f t="shared" si="10"/>
        <v>N</v>
      </c>
      <c r="I25" t="str">
        <f t="shared" si="11"/>
        <v>No</v>
      </c>
      <c r="L25" t="s">
        <v>10</v>
      </c>
      <c r="M25">
        <v>0</v>
      </c>
      <c r="N25">
        <v>0</v>
      </c>
      <c r="O25">
        <v>0</v>
      </c>
      <c r="P25">
        <f t="shared" si="13"/>
        <v>0</v>
      </c>
      <c r="Q25">
        <f t="shared" si="14"/>
        <v>0</v>
      </c>
      <c r="R25">
        <f t="shared" si="15"/>
        <v>0</v>
      </c>
      <c r="S25">
        <f t="shared" si="16"/>
        <v>0</v>
      </c>
      <c r="T25">
        <f t="shared" si="12"/>
        <v>0</v>
      </c>
      <c r="U25">
        <f t="shared" si="12"/>
        <v>0</v>
      </c>
    </row>
    <row r="26" spans="1:21" x14ac:dyDescent="0.3">
      <c r="A26" t="s">
        <v>12</v>
      </c>
      <c r="B26" t="s">
        <v>64</v>
      </c>
      <c r="C26" t="s">
        <v>64</v>
      </c>
      <c r="D26" t="s">
        <v>64</v>
      </c>
      <c r="E26" t="s">
        <v>64</v>
      </c>
      <c r="F26" t="s">
        <v>64</v>
      </c>
      <c r="G26" t="s">
        <v>64</v>
      </c>
      <c r="H26" t="str">
        <f t="shared" si="10"/>
        <v>N</v>
      </c>
      <c r="I26" t="str">
        <f t="shared" si="11"/>
        <v>No</v>
      </c>
      <c r="L26" t="s">
        <v>7</v>
      </c>
      <c r="M26">
        <v>0</v>
      </c>
      <c r="N26">
        <v>0</v>
      </c>
      <c r="O26">
        <v>0</v>
      </c>
      <c r="P26">
        <f t="shared" si="13"/>
        <v>0</v>
      </c>
      <c r="Q26">
        <f t="shared" si="14"/>
        <v>0</v>
      </c>
      <c r="R26">
        <f t="shared" si="15"/>
        <v>0</v>
      </c>
      <c r="S26">
        <f t="shared" si="16"/>
        <v>0</v>
      </c>
      <c r="T26">
        <f t="shared" si="12"/>
        <v>0</v>
      </c>
      <c r="U26">
        <f t="shared" si="12"/>
        <v>0</v>
      </c>
    </row>
    <row r="27" spans="1:21" x14ac:dyDescent="0.3">
      <c r="A27" t="s">
        <v>17</v>
      </c>
      <c r="B27" t="s">
        <v>64</v>
      </c>
      <c r="C27" t="s">
        <v>64</v>
      </c>
      <c r="D27" t="s">
        <v>64</v>
      </c>
      <c r="E27" t="s">
        <v>64</v>
      </c>
      <c r="F27" t="s">
        <v>64</v>
      </c>
      <c r="G27" t="s">
        <v>64</v>
      </c>
      <c r="H27" t="str">
        <f t="shared" si="10"/>
        <v>N</v>
      </c>
      <c r="I27" t="str">
        <f t="shared" si="11"/>
        <v>No</v>
      </c>
      <c r="L27" t="s">
        <v>2</v>
      </c>
      <c r="M27">
        <v>0</v>
      </c>
      <c r="N27">
        <v>0</v>
      </c>
      <c r="O27">
        <v>0</v>
      </c>
      <c r="P27">
        <f t="shared" si="13"/>
        <v>0</v>
      </c>
      <c r="Q27">
        <f t="shared" si="14"/>
        <v>0</v>
      </c>
      <c r="R27">
        <f t="shared" si="15"/>
        <v>0</v>
      </c>
      <c r="S27">
        <f t="shared" si="16"/>
        <v>0</v>
      </c>
      <c r="T27">
        <f t="shared" si="12"/>
        <v>0</v>
      </c>
      <c r="U27">
        <f t="shared" si="12"/>
        <v>0</v>
      </c>
    </row>
    <row r="28" spans="1:21" x14ac:dyDescent="0.3">
      <c r="A28" t="s">
        <v>13</v>
      </c>
      <c r="B28" t="s">
        <v>64</v>
      </c>
      <c r="C28" t="s">
        <v>64</v>
      </c>
      <c r="D28" t="s">
        <v>64</v>
      </c>
      <c r="E28" t="s">
        <v>64</v>
      </c>
      <c r="F28" t="s">
        <v>64</v>
      </c>
      <c r="G28" t="s">
        <v>64</v>
      </c>
      <c r="H28" t="str">
        <f t="shared" si="10"/>
        <v>N</v>
      </c>
      <c r="I28" t="str">
        <f t="shared" si="11"/>
        <v>No</v>
      </c>
      <c r="L28" t="s">
        <v>11</v>
      </c>
      <c r="M28">
        <v>0</v>
      </c>
      <c r="N28">
        <v>0</v>
      </c>
      <c r="O28">
        <v>0</v>
      </c>
      <c r="P28">
        <f t="shared" si="13"/>
        <v>0</v>
      </c>
      <c r="Q28">
        <f t="shared" si="14"/>
        <v>0</v>
      </c>
      <c r="R28">
        <f t="shared" si="15"/>
        <v>0</v>
      </c>
      <c r="S28">
        <f t="shared" si="16"/>
        <v>0</v>
      </c>
      <c r="T28">
        <f t="shared" si="12"/>
        <v>0</v>
      </c>
      <c r="U28">
        <f t="shared" si="12"/>
        <v>0</v>
      </c>
    </row>
    <row r="29" spans="1:21" x14ac:dyDescent="0.3">
      <c r="A29" t="s">
        <v>4</v>
      </c>
      <c r="B29" t="s">
        <v>64</v>
      </c>
      <c r="C29" t="s">
        <v>64</v>
      </c>
      <c r="D29" t="s">
        <v>64</v>
      </c>
      <c r="E29" t="s">
        <v>64</v>
      </c>
      <c r="F29" t="s">
        <v>64</v>
      </c>
      <c r="G29" t="s">
        <v>64</v>
      </c>
      <c r="H29" t="str">
        <f t="shared" si="10"/>
        <v>N</v>
      </c>
      <c r="I29" t="str">
        <f t="shared" si="11"/>
        <v>No</v>
      </c>
      <c r="L29" t="s">
        <v>6</v>
      </c>
      <c r="M29">
        <v>0</v>
      </c>
      <c r="N29">
        <v>0</v>
      </c>
      <c r="O29">
        <v>0</v>
      </c>
      <c r="P29">
        <f t="shared" si="13"/>
        <v>0</v>
      </c>
      <c r="Q29">
        <f t="shared" si="14"/>
        <v>0</v>
      </c>
      <c r="R29">
        <f t="shared" si="15"/>
        <v>0</v>
      </c>
      <c r="S29">
        <f t="shared" si="16"/>
        <v>0</v>
      </c>
      <c r="T29">
        <f t="shared" si="12"/>
        <v>0</v>
      </c>
      <c r="U29">
        <f t="shared" si="12"/>
        <v>0</v>
      </c>
    </row>
    <row r="30" spans="1:21" x14ac:dyDescent="0.3">
      <c r="A30" t="s">
        <v>8</v>
      </c>
      <c r="B30" t="s">
        <v>64</v>
      </c>
      <c r="C30" t="s">
        <v>64</v>
      </c>
      <c r="D30" t="s">
        <v>64</v>
      </c>
      <c r="E30" t="s">
        <v>64</v>
      </c>
      <c r="F30" t="s">
        <v>64</v>
      </c>
      <c r="G30" t="s">
        <v>64</v>
      </c>
      <c r="H30" t="str">
        <f t="shared" si="10"/>
        <v>N</v>
      </c>
      <c r="I30" t="str">
        <f t="shared" si="11"/>
        <v>No</v>
      </c>
      <c r="L30" t="s">
        <v>14</v>
      </c>
      <c r="M30">
        <v>0</v>
      </c>
      <c r="N30">
        <v>0</v>
      </c>
      <c r="O30">
        <v>0</v>
      </c>
      <c r="P30">
        <f t="shared" si="13"/>
        <v>0</v>
      </c>
      <c r="Q30">
        <f t="shared" si="14"/>
        <v>0</v>
      </c>
      <c r="R30">
        <f t="shared" si="15"/>
        <v>0</v>
      </c>
      <c r="S30">
        <f t="shared" si="16"/>
        <v>0</v>
      </c>
      <c r="T30">
        <f t="shared" si="12"/>
        <v>0</v>
      </c>
      <c r="U30">
        <f t="shared" si="12"/>
        <v>0</v>
      </c>
    </row>
    <row r="31" spans="1:21" x14ac:dyDescent="0.3">
      <c r="A31" t="s">
        <v>15</v>
      </c>
      <c r="B31" t="s">
        <v>64</v>
      </c>
      <c r="C31" t="s">
        <v>64</v>
      </c>
      <c r="D31" t="s">
        <v>64</v>
      </c>
      <c r="E31" t="s">
        <v>64</v>
      </c>
      <c r="F31" t="s">
        <v>64</v>
      </c>
      <c r="G31" t="s">
        <v>64</v>
      </c>
      <c r="H31" t="str">
        <f t="shared" si="10"/>
        <v>N</v>
      </c>
      <c r="I31" t="str">
        <f t="shared" si="11"/>
        <v>No</v>
      </c>
      <c r="L31" t="s">
        <v>18</v>
      </c>
      <c r="M31">
        <v>0</v>
      </c>
      <c r="N31">
        <v>0</v>
      </c>
      <c r="O31">
        <v>0</v>
      </c>
      <c r="P31">
        <f t="shared" si="13"/>
        <v>0</v>
      </c>
      <c r="Q31">
        <f t="shared" si="14"/>
        <v>0</v>
      </c>
      <c r="R31">
        <f t="shared" si="15"/>
        <v>0</v>
      </c>
      <c r="S31">
        <f t="shared" si="16"/>
        <v>0</v>
      </c>
      <c r="T31">
        <f t="shared" si="12"/>
        <v>0</v>
      </c>
      <c r="U31">
        <f t="shared" si="12"/>
        <v>0</v>
      </c>
    </row>
    <row r="32" spans="1:21" x14ac:dyDescent="0.3">
      <c r="A32" t="s">
        <v>16</v>
      </c>
      <c r="B32" t="s">
        <v>64</v>
      </c>
      <c r="C32" t="s">
        <v>64</v>
      </c>
      <c r="D32" t="s">
        <v>64</v>
      </c>
      <c r="E32" t="s">
        <v>64</v>
      </c>
      <c r="F32" t="s">
        <v>64</v>
      </c>
      <c r="G32" t="s">
        <v>64</v>
      </c>
      <c r="H32" t="str">
        <f t="shared" si="10"/>
        <v>N</v>
      </c>
      <c r="I32" t="str">
        <f t="shared" si="11"/>
        <v>No</v>
      </c>
      <c r="L32" t="s">
        <v>5</v>
      </c>
      <c r="M32">
        <v>0</v>
      </c>
      <c r="N32">
        <v>0</v>
      </c>
      <c r="O32">
        <v>0</v>
      </c>
      <c r="P32">
        <f t="shared" si="13"/>
        <v>0</v>
      </c>
      <c r="Q32">
        <f t="shared" si="14"/>
        <v>0</v>
      </c>
      <c r="R32">
        <f t="shared" si="15"/>
        <v>0</v>
      </c>
      <c r="S32">
        <f t="shared" si="16"/>
        <v>0</v>
      </c>
      <c r="T32">
        <f t="shared" si="12"/>
        <v>0</v>
      </c>
      <c r="U32">
        <f t="shared" si="12"/>
        <v>0</v>
      </c>
    </row>
    <row r="33" spans="12:21" x14ac:dyDescent="0.3">
      <c r="L33" t="s">
        <v>0</v>
      </c>
      <c r="M33">
        <v>0</v>
      </c>
      <c r="N33">
        <v>0</v>
      </c>
      <c r="O33">
        <v>0</v>
      </c>
      <c r="P33">
        <f t="shared" si="13"/>
        <v>0</v>
      </c>
      <c r="Q33">
        <f t="shared" si="14"/>
        <v>0</v>
      </c>
      <c r="R33">
        <f t="shared" si="15"/>
        <v>0</v>
      </c>
      <c r="S33">
        <f t="shared" si="16"/>
        <v>0</v>
      </c>
      <c r="T33">
        <f t="shared" si="12"/>
        <v>0</v>
      </c>
      <c r="U33">
        <f t="shared" si="12"/>
        <v>0</v>
      </c>
    </row>
    <row r="34" spans="12:21" x14ac:dyDescent="0.3">
      <c r="L34" t="s">
        <v>1</v>
      </c>
      <c r="M34">
        <v>0</v>
      </c>
      <c r="N34">
        <v>0</v>
      </c>
      <c r="O34">
        <v>0</v>
      </c>
      <c r="P34">
        <f t="shared" si="13"/>
        <v>0</v>
      </c>
      <c r="Q34">
        <f t="shared" si="14"/>
        <v>0</v>
      </c>
      <c r="R34">
        <f t="shared" si="15"/>
        <v>0</v>
      </c>
      <c r="S34">
        <f t="shared" si="16"/>
        <v>0</v>
      </c>
      <c r="T34">
        <f t="shared" si="12"/>
        <v>0</v>
      </c>
      <c r="U34">
        <f t="shared" si="12"/>
        <v>0</v>
      </c>
    </row>
    <row r="35" spans="12:21" x14ac:dyDescent="0.3">
      <c r="L35" t="s">
        <v>23</v>
      </c>
      <c r="M35">
        <v>0</v>
      </c>
      <c r="N35">
        <v>0</v>
      </c>
      <c r="O35">
        <v>0</v>
      </c>
      <c r="P35">
        <f t="shared" si="13"/>
        <v>0</v>
      </c>
      <c r="Q35">
        <f t="shared" si="14"/>
        <v>0</v>
      </c>
      <c r="R35">
        <f t="shared" si="15"/>
        <v>0</v>
      </c>
      <c r="S35">
        <f t="shared" si="16"/>
        <v>0</v>
      </c>
      <c r="T35">
        <f t="shared" si="12"/>
        <v>0</v>
      </c>
      <c r="U35">
        <f t="shared" si="12"/>
        <v>0</v>
      </c>
    </row>
    <row r="36" spans="12:21" x14ac:dyDescent="0.3">
      <c r="L36" t="s">
        <v>12</v>
      </c>
      <c r="M36">
        <v>0</v>
      </c>
      <c r="N36">
        <v>0</v>
      </c>
      <c r="O36">
        <v>0</v>
      </c>
      <c r="P36">
        <f t="shared" si="13"/>
        <v>0</v>
      </c>
      <c r="Q36">
        <f t="shared" si="14"/>
        <v>0</v>
      </c>
      <c r="R36">
        <f t="shared" si="15"/>
        <v>0</v>
      </c>
      <c r="S36">
        <f t="shared" si="16"/>
        <v>0</v>
      </c>
      <c r="T36">
        <f t="shared" si="12"/>
        <v>0</v>
      </c>
      <c r="U36">
        <f t="shared" si="12"/>
        <v>0</v>
      </c>
    </row>
    <row r="37" spans="12:21" x14ac:dyDescent="0.3">
      <c r="L37" t="s">
        <v>17</v>
      </c>
      <c r="M37">
        <v>0</v>
      </c>
      <c r="N37">
        <v>0</v>
      </c>
      <c r="O37">
        <v>0</v>
      </c>
      <c r="P37">
        <f t="shared" si="13"/>
        <v>0</v>
      </c>
      <c r="Q37">
        <f t="shared" si="14"/>
        <v>0</v>
      </c>
      <c r="R37">
        <f t="shared" si="15"/>
        <v>0</v>
      </c>
      <c r="S37">
        <f t="shared" si="16"/>
        <v>0</v>
      </c>
      <c r="T37">
        <f t="shared" si="12"/>
        <v>0</v>
      </c>
      <c r="U37">
        <f t="shared" si="12"/>
        <v>0</v>
      </c>
    </row>
    <row r="38" spans="12:21" x14ac:dyDescent="0.3">
      <c r="L38" t="s">
        <v>13</v>
      </c>
      <c r="M38">
        <v>0</v>
      </c>
      <c r="N38">
        <v>0</v>
      </c>
      <c r="O38">
        <v>0</v>
      </c>
      <c r="P38">
        <f t="shared" si="13"/>
        <v>0</v>
      </c>
      <c r="Q38">
        <f t="shared" si="14"/>
        <v>0</v>
      </c>
      <c r="R38">
        <f t="shared" si="15"/>
        <v>0</v>
      </c>
      <c r="S38">
        <f t="shared" si="16"/>
        <v>0</v>
      </c>
      <c r="T38">
        <f t="shared" si="12"/>
        <v>0</v>
      </c>
      <c r="U38">
        <f t="shared" si="12"/>
        <v>0</v>
      </c>
    </row>
    <row r="39" spans="12:21" x14ac:dyDescent="0.3">
      <c r="L39" t="s">
        <v>4</v>
      </c>
      <c r="M39">
        <v>0</v>
      </c>
      <c r="N39">
        <v>0</v>
      </c>
      <c r="O39">
        <v>0</v>
      </c>
      <c r="P39">
        <f t="shared" si="13"/>
        <v>0</v>
      </c>
      <c r="Q39">
        <f t="shared" si="14"/>
        <v>0</v>
      </c>
      <c r="R39">
        <f t="shared" si="15"/>
        <v>0</v>
      </c>
      <c r="S39">
        <f t="shared" si="16"/>
        <v>0</v>
      </c>
      <c r="T39">
        <f t="shared" si="16"/>
        <v>0</v>
      </c>
      <c r="U39">
        <f t="shared" si="16"/>
        <v>0</v>
      </c>
    </row>
    <row r="40" spans="12:21" x14ac:dyDescent="0.3">
      <c r="L40" t="s">
        <v>8</v>
      </c>
      <c r="M40">
        <v>0</v>
      </c>
      <c r="N40">
        <v>0</v>
      </c>
      <c r="O40">
        <v>0</v>
      </c>
      <c r="P40">
        <f t="shared" si="13"/>
        <v>0</v>
      </c>
      <c r="Q40">
        <f t="shared" si="14"/>
        <v>0</v>
      </c>
      <c r="R40">
        <f t="shared" si="15"/>
        <v>0</v>
      </c>
      <c r="S40">
        <f t="shared" si="16"/>
        <v>0</v>
      </c>
      <c r="T40">
        <f t="shared" si="16"/>
        <v>0</v>
      </c>
      <c r="U40">
        <f t="shared" si="16"/>
        <v>0</v>
      </c>
    </row>
    <row r="41" spans="12:21" x14ac:dyDescent="0.3">
      <c r="L41" t="s">
        <v>15</v>
      </c>
      <c r="M41">
        <v>0</v>
      </c>
      <c r="N41">
        <v>0</v>
      </c>
      <c r="O41">
        <v>0</v>
      </c>
      <c r="P41">
        <f t="shared" si="13"/>
        <v>0</v>
      </c>
      <c r="Q41">
        <f t="shared" si="14"/>
        <v>0</v>
      </c>
      <c r="R41">
        <f t="shared" si="15"/>
        <v>0</v>
      </c>
      <c r="S41">
        <f t="shared" si="16"/>
        <v>0</v>
      </c>
      <c r="T41">
        <f t="shared" si="16"/>
        <v>0</v>
      </c>
      <c r="U41">
        <f t="shared" si="16"/>
        <v>0</v>
      </c>
    </row>
    <row r="42" spans="12:21" x14ac:dyDescent="0.3">
      <c r="L42" t="s">
        <v>16</v>
      </c>
      <c r="M42">
        <v>0</v>
      </c>
      <c r="N42">
        <v>0</v>
      </c>
      <c r="O42">
        <v>0</v>
      </c>
      <c r="P42">
        <f t="shared" si="13"/>
        <v>0</v>
      </c>
      <c r="Q42">
        <f t="shared" si="14"/>
        <v>0</v>
      </c>
      <c r="R42">
        <f t="shared" si="15"/>
        <v>0</v>
      </c>
      <c r="S42">
        <f t="shared" si="16"/>
        <v>0</v>
      </c>
      <c r="T42">
        <f t="shared" si="16"/>
        <v>0</v>
      </c>
      <c r="U42">
        <f t="shared" ref="U42" si="17">SUM(O42,R42)</f>
        <v>0</v>
      </c>
    </row>
    <row r="43" spans="12:21" x14ac:dyDescent="0.3">
      <c r="M43" t="s">
        <v>54</v>
      </c>
      <c r="N43" t="s">
        <v>55</v>
      </c>
      <c r="O43" t="s">
        <v>56</v>
      </c>
      <c r="P43" t="s">
        <v>57</v>
      </c>
    </row>
    <row r="44" spans="12:21" x14ac:dyDescent="0.3">
      <c r="L44" t="s">
        <v>3</v>
      </c>
      <c r="M44">
        <v>0</v>
      </c>
      <c r="N44">
        <f>_xlfn.IFNA(_xlfn.IFNA(INDEX($A$2:$E$11,MATCH(L44,$A$2:$A$11,0),2),INDEX($A$2:$E$11,MATCH(L44,$E$2:$E$11,0),4)),0)</f>
        <v>0</v>
      </c>
      <c r="O44">
        <f>_xlfn.IFNA(_xlfn.IFNA(INDEX($A$2:$E$11,MATCH(L44,$A$2:$A$11,0),4),INDEX($A$2:$E$11,MATCH(L44,$E$2:$E$11,0),2)),0)</f>
        <v>0</v>
      </c>
      <c r="P44">
        <f>(M44+N44-O44)</f>
        <v>0</v>
      </c>
    </row>
    <row r="45" spans="12:21" x14ac:dyDescent="0.3">
      <c r="L45" t="s">
        <v>9</v>
      </c>
      <c r="M45">
        <v>0</v>
      </c>
      <c r="N45">
        <f t="shared" ref="N45:N63" si="18">_xlfn.IFNA(_xlfn.IFNA(INDEX($A$2:$E$11,MATCH(L45,$A$2:$A$11,0),2),INDEX($A$2:$E$11,MATCH(L45,$E$2:$E$11,0),4)),0)</f>
        <v>0</v>
      </c>
      <c r="O45">
        <f t="shared" ref="O45:O63" si="19">_xlfn.IFNA(_xlfn.IFNA(INDEX($A$2:$E$11,MATCH(L45,$A$2:$A$11,0),4),INDEX($A$2:$E$11,MATCH(L45,$E$2:$E$11,0),2)),0)</f>
        <v>0</v>
      </c>
      <c r="P45">
        <f t="shared" ref="P45:P63" si="20">(M45+N45-O45)</f>
        <v>0</v>
      </c>
    </row>
    <row r="46" spans="12:21" x14ac:dyDescent="0.3">
      <c r="L46" t="s">
        <v>10</v>
      </c>
      <c r="M46">
        <v>0</v>
      </c>
      <c r="N46">
        <f t="shared" si="18"/>
        <v>0</v>
      </c>
      <c r="O46">
        <f t="shared" si="19"/>
        <v>0</v>
      </c>
      <c r="P46">
        <f t="shared" si="20"/>
        <v>0</v>
      </c>
    </row>
    <row r="47" spans="12:21" x14ac:dyDescent="0.3">
      <c r="L47" t="s">
        <v>7</v>
      </c>
      <c r="M47">
        <v>0</v>
      </c>
      <c r="N47">
        <f t="shared" si="18"/>
        <v>0</v>
      </c>
      <c r="O47">
        <f t="shared" si="19"/>
        <v>0</v>
      </c>
      <c r="P47">
        <f t="shared" si="20"/>
        <v>0</v>
      </c>
    </row>
    <row r="48" spans="12:21" x14ac:dyDescent="0.3">
      <c r="L48" t="s">
        <v>2</v>
      </c>
      <c r="M48">
        <v>0</v>
      </c>
      <c r="N48">
        <f t="shared" si="18"/>
        <v>0</v>
      </c>
      <c r="O48">
        <f t="shared" si="19"/>
        <v>0</v>
      </c>
      <c r="P48">
        <f t="shared" si="20"/>
        <v>0</v>
      </c>
    </row>
    <row r="49" spans="12:16" x14ac:dyDescent="0.3">
      <c r="L49" t="s">
        <v>11</v>
      </c>
      <c r="M49">
        <v>0</v>
      </c>
      <c r="N49">
        <f t="shared" si="18"/>
        <v>0</v>
      </c>
      <c r="O49">
        <f t="shared" si="19"/>
        <v>0</v>
      </c>
      <c r="P49">
        <f t="shared" si="20"/>
        <v>0</v>
      </c>
    </row>
    <row r="50" spans="12:16" x14ac:dyDescent="0.3">
      <c r="L50" t="s">
        <v>6</v>
      </c>
      <c r="M50">
        <v>0</v>
      </c>
      <c r="N50">
        <f t="shared" si="18"/>
        <v>0</v>
      </c>
      <c r="O50">
        <f t="shared" si="19"/>
        <v>0</v>
      </c>
      <c r="P50">
        <f t="shared" si="20"/>
        <v>0</v>
      </c>
    </row>
    <row r="51" spans="12:16" x14ac:dyDescent="0.3">
      <c r="L51" t="s">
        <v>14</v>
      </c>
      <c r="M51">
        <v>0</v>
      </c>
      <c r="N51">
        <f t="shared" si="18"/>
        <v>0</v>
      </c>
      <c r="O51">
        <f t="shared" si="19"/>
        <v>0</v>
      </c>
      <c r="P51">
        <f t="shared" si="20"/>
        <v>0</v>
      </c>
    </row>
    <row r="52" spans="12:16" x14ac:dyDescent="0.3">
      <c r="L52" t="s">
        <v>18</v>
      </c>
      <c r="M52">
        <v>0</v>
      </c>
      <c r="N52">
        <f t="shared" si="18"/>
        <v>0</v>
      </c>
      <c r="O52">
        <f t="shared" si="19"/>
        <v>0</v>
      </c>
      <c r="P52">
        <f t="shared" si="20"/>
        <v>0</v>
      </c>
    </row>
    <row r="53" spans="12:16" x14ac:dyDescent="0.3">
      <c r="L53" t="s">
        <v>5</v>
      </c>
      <c r="M53">
        <v>0</v>
      </c>
      <c r="N53">
        <f t="shared" si="18"/>
        <v>0</v>
      </c>
      <c r="O53">
        <f t="shared" si="19"/>
        <v>0</v>
      </c>
      <c r="P53">
        <f t="shared" si="20"/>
        <v>0</v>
      </c>
    </row>
    <row r="54" spans="12:16" x14ac:dyDescent="0.3">
      <c r="L54" t="s">
        <v>0</v>
      </c>
      <c r="M54">
        <v>0</v>
      </c>
      <c r="N54">
        <f t="shared" si="18"/>
        <v>0</v>
      </c>
      <c r="O54">
        <f t="shared" si="19"/>
        <v>0</v>
      </c>
      <c r="P54">
        <f t="shared" si="20"/>
        <v>0</v>
      </c>
    </row>
    <row r="55" spans="12:16" x14ac:dyDescent="0.3">
      <c r="L55" t="s">
        <v>1</v>
      </c>
      <c r="M55">
        <v>0</v>
      </c>
      <c r="N55">
        <f t="shared" si="18"/>
        <v>0</v>
      </c>
      <c r="O55">
        <f t="shared" si="19"/>
        <v>0</v>
      </c>
      <c r="P55">
        <f t="shared" si="20"/>
        <v>0</v>
      </c>
    </row>
    <row r="56" spans="12:16" x14ac:dyDescent="0.3">
      <c r="L56" t="s">
        <v>23</v>
      </c>
      <c r="M56">
        <v>0</v>
      </c>
      <c r="N56">
        <f t="shared" si="18"/>
        <v>0</v>
      </c>
      <c r="O56">
        <f t="shared" si="19"/>
        <v>0</v>
      </c>
      <c r="P56">
        <f t="shared" si="20"/>
        <v>0</v>
      </c>
    </row>
    <row r="57" spans="12:16" x14ac:dyDescent="0.3">
      <c r="L57" t="s">
        <v>12</v>
      </c>
      <c r="M57">
        <v>0</v>
      </c>
      <c r="N57">
        <f t="shared" si="18"/>
        <v>0</v>
      </c>
      <c r="O57">
        <f t="shared" si="19"/>
        <v>0</v>
      </c>
      <c r="P57">
        <f t="shared" si="20"/>
        <v>0</v>
      </c>
    </row>
    <row r="58" spans="12:16" x14ac:dyDescent="0.3">
      <c r="L58" t="s">
        <v>17</v>
      </c>
      <c r="M58">
        <v>0</v>
      </c>
      <c r="N58">
        <f t="shared" si="18"/>
        <v>0</v>
      </c>
      <c r="O58">
        <f t="shared" si="19"/>
        <v>0</v>
      </c>
      <c r="P58">
        <f t="shared" si="20"/>
        <v>0</v>
      </c>
    </row>
    <row r="59" spans="12:16" x14ac:dyDescent="0.3">
      <c r="L59" t="s">
        <v>13</v>
      </c>
      <c r="M59">
        <v>0</v>
      </c>
      <c r="N59">
        <f t="shared" si="18"/>
        <v>0</v>
      </c>
      <c r="O59">
        <f t="shared" si="19"/>
        <v>0</v>
      </c>
      <c r="P59">
        <f t="shared" si="20"/>
        <v>0</v>
      </c>
    </row>
    <row r="60" spans="12:16" x14ac:dyDescent="0.3">
      <c r="L60" t="s">
        <v>4</v>
      </c>
      <c r="M60">
        <v>0</v>
      </c>
      <c r="N60">
        <f t="shared" si="18"/>
        <v>0</v>
      </c>
      <c r="O60">
        <f t="shared" si="19"/>
        <v>0</v>
      </c>
      <c r="P60">
        <f t="shared" si="20"/>
        <v>0</v>
      </c>
    </row>
    <row r="61" spans="12:16" x14ac:dyDescent="0.3">
      <c r="L61" t="s">
        <v>8</v>
      </c>
      <c r="M61">
        <v>0</v>
      </c>
      <c r="N61">
        <f t="shared" si="18"/>
        <v>0</v>
      </c>
      <c r="O61">
        <f t="shared" si="19"/>
        <v>0</v>
      </c>
      <c r="P61">
        <f t="shared" si="20"/>
        <v>0</v>
      </c>
    </row>
    <row r="62" spans="12:16" x14ac:dyDescent="0.3">
      <c r="L62" t="s">
        <v>15</v>
      </c>
      <c r="M62">
        <v>0</v>
      </c>
      <c r="N62">
        <f t="shared" si="18"/>
        <v>0</v>
      </c>
      <c r="O62">
        <f t="shared" si="19"/>
        <v>0</v>
      </c>
      <c r="P62">
        <f t="shared" si="20"/>
        <v>0</v>
      </c>
    </row>
    <row r="63" spans="12:16" x14ac:dyDescent="0.3">
      <c r="L63" t="s">
        <v>16</v>
      </c>
      <c r="M63">
        <v>0</v>
      </c>
      <c r="N63">
        <f t="shared" si="18"/>
        <v>0</v>
      </c>
      <c r="O63">
        <f t="shared" si="19"/>
        <v>0</v>
      </c>
      <c r="P63">
        <f t="shared" si="2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Oh Yu Xiang</dc:creator>
  <cp:lastModifiedBy>Oh Yu Xiang</cp:lastModifiedBy>
  <dcterms:created xsi:type="dcterms:W3CDTF">2018-02-05T14:59:53Z</dcterms:created>
  <dcterms:modified xsi:type="dcterms:W3CDTF">2018-10-01T17:33:59Z</dcterms:modified>
</cp:coreProperties>
</file>