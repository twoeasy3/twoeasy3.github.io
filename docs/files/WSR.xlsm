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tooea\Documents\"/>
    </mc:Choice>
  </mc:AlternateContent>
  <xr:revisionPtr revIDLastSave="0" documentId="13_ncr:1_{490C7DF2-9313-4F6C-99E8-8A3FB291739E}" xr6:coauthVersionLast="45" xr6:coauthVersionMax="45" xr10:uidLastSave="{00000000-0000-0000-0000-000000000000}"/>
  <bookViews>
    <workbookView xWindow="-120" yWindow="-120" windowWidth="20730" windowHeight="11160" activeTab="2" xr2:uid="{00000000-000D-0000-FFFF-FFFF00000000}"/>
  </bookViews>
  <sheets>
    <sheet name="Team Select &lt;WIP&gt;" sheetId="7" r:id="rId1"/>
    <sheet name="TeamData" sheetId="8" r:id="rId2"/>
    <sheet name="WSR" sheetId="1" r:id="rId3"/>
    <sheet name="WSR 2" sheetId="6" r:id="rId4"/>
  </sheets>
  <definedNames>
    <definedName name="WSR_Teamlist">'Team Select &lt;WIP&gt;'!$R$3:$R$29</definedName>
  </definedNames>
  <calcPr calcId="19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7" i="7" l="1"/>
  <c r="J17" i="7"/>
  <c r="C16" i="7"/>
  <c r="J16" i="7"/>
  <c r="J14" i="7"/>
  <c r="C14" i="7"/>
  <c r="C15" i="7"/>
  <c r="C13" i="7"/>
  <c r="C12" i="7"/>
  <c r="J15" i="7"/>
  <c r="J13" i="7"/>
  <c r="J12" i="7"/>
  <c r="C10" i="7"/>
  <c r="B4" i="7" l="1"/>
  <c r="B25" i="7" l="1"/>
  <c r="I4" i="7" l="1"/>
  <c r="J11" i="7" l="1"/>
  <c r="C11" i="7"/>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2" i="6"/>
  <c r="W53" i="6"/>
  <c r="W54" i="6"/>
  <c r="W3" i="6"/>
  <c r="J10" i="7"/>
  <c r="T5" i="7"/>
  <c r="T6" i="7"/>
  <c r="T7" i="7"/>
  <c r="T8" i="7"/>
  <c r="T9" i="7"/>
  <c r="T10" i="7"/>
  <c r="T11" i="7"/>
  <c r="T12" i="7"/>
  <c r="T13" i="7"/>
  <c r="T14" i="7"/>
  <c r="T15" i="7"/>
  <c r="T16" i="7"/>
  <c r="T17" i="7"/>
  <c r="T18" i="7"/>
  <c r="T19" i="7"/>
  <c r="T20" i="7"/>
  <c r="T21" i="7"/>
  <c r="T22" i="7"/>
  <c r="T23" i="7"/>
  <c r="T24" i="7"/>
  <c r="T25" i="7"/>
  <c r="T26" i="7"/>
  <c r="T27" i="7"/>
  <c r="T28" i="7"/>
  <c r="T29" i="7"/>
  <c r="T4" i="7"/>
  <c r="R29" i="7" l="1"/>
  <c r="R27" i="7"/>
  <c r="R28" i="7"/>
  <c r="R5" i="7"/>
  <c r="R6" i="7"/>
  <c r="R7" i="7"/>
  <c r="R8" i="7"/>
  <c r="R9" i="7"/>
  <c r="R10" i="7"/>
  <c r="R11" i="7"/>
  <c r="R12" i="7"/>
  <c r="R13" i="7"/>
  <c r="R14" i="7"/>
  <c r="R15" i="7"/>
  <c r="R16" i="7"/>
  <c r="R17" i="7"/>
  <c r="R18" i="7"/>
  <c r="R19" i="7"/>
  <c r="R20" i="7"/>
  <c r="R21" i="7"/>
  <c r="R22" i="7"/>
  <c r="R23" i="7"/>
  <c r="R24" i="7"/>
  <c r="R25" i="7"/>
  <c r="R26" i="7"/>
  <c r="R4" i="7"/>
  <c r="N5" i="1"/>
  <c r="N6" i="1"/>
  <c r="N7" i="1"/>
  <c r="N8" i="1"/>
  <c r="N9" i="1"/>
  <c r="N10" i="1"/>
  <c r="N11" i="1"/>
  <c r="N12" i="1"/>
  <c r="N13" i="1"/>
  <c r="N14" i="1"/>
  <c r="N15" i="1"/>
  <c r="N16" i="1"/>
  <c r="N17" i="1"/>
  <c r="N18" i="1"/>
  <c r="N19" i="1"/>
  <c r="N20" i="1"/>
  <c r="N21" i="1"/>
  <c r="N22" i="1"/>
  <c r="N23" i="1"/>
  <c r="N24" i="1"/>
  <c r="N25" i="1"/>
  <c r="N26" i="1"/>
  <c r="N27" i="1"/>
  <c r="N28" i="1"/>
  <c r="N3" i="1"/>
  <c r="N4" i="1"/>
  <c r="J25" i="1"/>
  <c r="J18" i="1"/>
  <c r="J11" i="1"/>
  <c r="J22" i="1"/>
  <c r="J6" i="1"/>
  <c r="J21" i="1"/>
  <c r="J23" i="1"/>
  <c r="J13" i="1"/>
  <c r="J19" i="1"/>
  <c r="J5" i="1"/>
  <c r="J27" i="1"/>
  <c r="J10" i="1"/>
  <c r="J15" i="1"/>
  <c r="J17" i="1"/>
  <c r="J4" i="1"/>
  <c r="J16" i="1"/>
  <c r="J3" i="1"/>
  <c r="J12" i="1"/>
  <c r="J26" i="1"/>
  <c r="J7" i="1"/>
  <c r="J8" i="1"/>
  <c r="J24" i="1"/>
  <c r="J28" i="1"/>
  <c r="J14" i="1"/>
  <c r="J9"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3" i="1"/>
  <c r="N4" i="6"/>
  <c r="N5" i="6"/>
  <c r="N6" i="6"/>
  <c r="N7" i="6"/>
  <c r="N8" i="6"/>
  <c r="N9" i="6"/>
  <c r="N10" i="6"/>
  <c r="N11" i="6"/>
  <c r="N12" i="6"/>
  <c r="N13" i="6"/>
  <c r="N14" i="6"/>
  <c r="N15" i="6"/>
  <c r="N16" i="6"/>
  <c r="N17" i="6"/>
  <c r="N18" i="6"/>
  <c r="N19" i="6"/>
  <c r="N20" i="6"/>
  <c r="N21" i="6"/>
  <c r="N22" i="6"/>
  <c r="N23" i="6"/>
  <c r="N24" i="6"/>
  <c r="N25" i="6"/>
  <c r="N26" i="6"/>
  <c r="N27" i="6"/>
  <c r="N28" i="6"/>
  <c r="N3" i="6"/>
  <c r="M28" i="6"/>
  <c r="L28" i="6"/>
  <c r="K28" i="6"/>
  <c r="J14" i="6"/>
  <c r="M27" i="6"/>
  <c r="L27" i="6"/>
  <c r="K27" i="6"/>
  <c r="J28" i="6"/>
  <c r="M26" i="6"/>
  <c r="L26" i="6"/>
  <c r="K26" i="6"/>
  <c r="J10" i="6"/>
  <c r="M25" i="6"/>
  <c r="L25" i="6"/>
  <c r="K25" i="6"/>
  <c r="J16" i="6"/>
  <c r="M24" i="6"/>
  <c r="L24" i="6"/>
  <c r="K24" i="6"/>
  <c r="J21" i="6"/>
  <c r="M23" i="6"/>
  <c r="L23" i="6"/>
  <c r="K23" i="6"/>
  <c r="J19" i="6"/>
  <c r="M22" i="6"/>
  <c r="L22" i="6"/>
  <c r="K22" i="6"/>
  <c r="J27" i="6"/>
  <c r="M21" i="6"/>
  <c r="L21" i="6"/>
  <c r="K21" i="6"/>
  <c r="J9" i="6"/>
  <c r="M20" i="6"/>
  <c r="L20" i="6"/>
  <c r="K20" i="6"/>
  <c r="J18" i="6"/>
  <c r="M19" i="6"/>
  <c r="L19" i="6"/>
  <c r="K19" i="6"/>
  <c r="J11" i="6"/>
  <c r="M18" i="6"/>
  <c r="L18" i="6"/>
  <c r="K18" i="6"/>
  <c r="J4" i="6"/>
  <c r="M17" i="6"/>
  <c r="L17" i="6"/>
  <c r="K17" i="6"/>
  <c r="J24" i="6"/>
  <c r="M16" i="6"/>
  <c r="L16" i="6"/>
  <c r="K16" i="6"/>
  <c r="J17" i="6"/>
  <c r="M15" i="6"/>
  <c r="L15" i="6"/>
  <c r="K15" i="6"/>
  <c r="J13" i="6"/>
  <c r="M14" i="6"/>
  <c r="L14" i="6"/>
  <c r="K14" i="6"/>
  <c r="J3" i="6"/>
  <c r="M13" i="6"/>
  <c r="L13" i="6"/>
  <c r="K13" i="6"/>
  <c r="J25" i="6"/>
  <c r="M12" i="6"/>
  <c r="L12" i="6"/>
  <c r="K12" i="6"/>
  <c r="J20" i="6"/>
  <c r="M11" i="6"/>
  <c r="L11" i="6"/>
  <c r="K11" i="6"/>
  <c r="J22" i="6"/>
  <c r="M10" i="6"/>
  <c r="L10" i="6"/>
  <c r="K10" i="6"/>
  <c r="J12" i="6"/>
  <c r="M9" i="6"/>
  <c r="L9" i="6"/>
  <c r="K9" i="6"/>
  <c r="J5" i="6"/>
  <c r="M8" i="6"/>
  <c r="L8" i="6"/>
  <c r="K8" i="6"/>
  <c r="J26" i="6"/>
  <c r="M7" i="6"/>
  <c r="L7" i="6"/>
  <c r="K7" i="6"/>
  <c r="J7" i="6"/>
  <c r="M6" i="6"/>
  <c r="L6" i="6"/>
  <c r="K6" i="6"/>
  <c r="J15" i="6"/>
  <c r="M5" i="6"/>
  <c r="L5" i="6"/>
  <c r="K5" i="6"/>
  <c r="J23" i="6"/>
  <c r="M4" i="6"/>
  <c r="L4" i="6"/>
  <c r="K4" i="6"/>
  <c r="J8" i="6"/>
  <c r="M3" i="6"/>
  <c r="L3" i="6"/>
  <c r="K3" i="6"/>
  <c r="J6" i="6"/>
  <c r="Z54" i="6"/>
  <c r="AB54" i="6" s="1"/>
  <c r="Y54" i="6"/>
  <c r="T54" i="6"/>
  <c r="V54" i="6" s="1"/>
  <c r="Z53" i="6"/>
  <c r="AB53" i="6" s="1"/>
  <c r="Y53" i="6"/>
  <c r="T53" i="6"/>
  <c r="V53" i="6" s="1"/>
  <c r="Z52" i="6"/>
  <c r="AB52" i="6" s="1"/>
  <c r="Y52" i="6"/>
  <c r="T52" i="6"/>
  <c r="V52" i="6" s="1"/>
  <c r="Z51" i="6"/>
  <c r="AB51" i="6" s="1"/>
  <c r="Y51" i="6"/>
  <c r="T51" i="6"/>
  <c r="V51" i="6" s="1"/>
  <c r="Z50" i="6"/>
  <c r="AB50" i="6" s="1"/>
  <c r="Y50" i="6"/>
  <c r="T50" i="6"/>
  <c r="V50" i="6" s="1"/>
  <c r="Z49" i="6"/>
  <c r="AB49" i="6" s="1"/>
  <c r="Y49" i="6"/>
  <c r="T49" i="6"/>
  <c r="V49" i="6" s="1"/>
  <c r="Z48" i="6"/>
  <c r="AB48" i="6" s="1"/>
  <c r="Y48" i="6"/>
  <c r="T48" i="6"/>
  <c r="V48" i="6" s="1"/>
  <c r="Z47" i="6"/>
  <c r="AB47" i="6" s="1"/>
  <c r="Y47" i="6"/>
  <c r="T47" i="6"/>
  <c r="V47" i="6" s="1"/>
  <c r="Z46" i="6"/>
  <c r="AB46" i="6" s="1"/>
  <c r="Y46" i="6"/>
  <c r="T46" i="6"/>
  <c r="V46" i="6" s="1"/>
  <c r="Z45" i="6"/>
  <c r="AB45" i="6" s="1"/>
  <c r="Y45" i="6"/>
  <c r="T45" i="6"/>
  <c r="V45" i="6" s="1"/>
  <c r="Z44" i="6"/>
  <c r="AB44" i="6" s="1"/>
  <c r="Y44" i="6"/>
  <c r="T44" i="6"/>
  <c r="V44" i="6" s="1"/>
  <c r="Z43" i="6"/>
  <c r="AB43" i="6" s="1"/>
  <c r="Y43" i="6"/>
  <c r="T43" i="6"/>
  <c r="V43" i="6" s="1"/>
  <c r="Z42" i="6"/>
  <c r="AB42" i="6" s="1"/>
  <c r="Y42" i="6"/>
  <c r="T42" i="6"/>
  <c r="V42" i="6" s="1"/>
  <c r="Z41" i="6"/>
  <c r="AB41" i="6" s="1"/>
  <c r="Y41" i="6"/>
  <c r="T41" i="6"/>
  <c r="V41" i="6" s="1"/>
  <c r="Z40" i="6"/>
  <c r="AB40" i="6" s="1"/>
  <c r="Y40" i="6"/>
  <c r="T40" i="6"/>
  <c r="V40" i="6" s="1"/>
  <c r="Z39" i="6"/>
  <c r="AB39" i="6" s="1"/>
  <c r="Y39" i="6"/>
  <c r="T39" i="6"/>
  <c r="V39" i="6" s="1"/>
  <c r="Z38" i="6"/>
  <c r="AB38" i="6" s="1"/>
  <c r="Y38" i="6"/>
  <c r="T38" i="6"/>
  <c r="V38" i="6" s="1"/>
  <c r="Z37" i="6"/>
  <c r="AB37" i="6" s="1"/>
  <c r="Y37" i="6"/>
  <c r="T37" i="6"/>
  <c r="V37" i="6" s="1"/>
  <c r="Z36" i="6"/>
  <c r="AB36" i="6" s="1"/>
  <c r="Y36" i="6"/>
  <c r="T36" i="6"/>
  <c r="V36" i="6" s="1"/>
  <c r="Z35" i="6"/>
  <c r="AB35" i="6" s="1"/>
  <c r="Y35" i="6"/>
  <c r="T35" i="6"/>
  <c r="V35" i="6" s="1"/>
  <c r="Z34" i="6"/>
  <c r="AB34" i="6" s="1"/>
  <c r="Y34" i="6"/>
  <c r="T34" i="6"/>
  <c r="V34" i="6" s="1"/>
  <c r="Z33" i="6"/>
  <c r="AB33" i="6" s="1"/>
  <c r="Y33" i="6"/>
  <c r="T33" i="6"/>
  <c r="V33" i="6" s="1"/>
  <c r="Z32" i="6"/>
  <c r="AB32" i="6" s="1"/>
  <c r="Y32" i="6"/>
  <c r="T32" i="6"/>
  <c r="V32" i="6" s="1"/>
  <c r="Z31" i="6"/>
  <c r="AB31" i="6" s="1"/>
  <c r="Y31" i="6"/>
  <c r="T31" i="6"/>
  <c r="V31" i="6" s="1"/>
  <c r="Z30" i="6"/>
  <c r="AB30" i="6" s="1"/>
  <c r="Y30" i="6"/>
  <c r="T30" i="6"/>
  <c r="V30" i="6" s="1"/>
  <c r="Z29" i="6"/>
  <c r="AB29" i="6" s="1"/>
  <c r="Y29" i="6"/>
  <c r="T29" i="6"/>
  <c r="V29" i="6" s="1"/>
  <c r="AH28" i="6"/>
  <c r="AI28" i="6" s="1"/>
  <c r="Z28" i="6"/>
  <c r="AB28" i="6" s="1"/>
  <c r="Y28" i="6"/>
  <c r="T28" i="6"/>
  <c r="V28" i="6" s="1"/>
  <c r="AH27" i="6"/>
  <c r="AI27" i="6" s="1"/>
  <c r="Z27" i="6"/>
  <c r="AB27" i="6" s="1"/>
  <c r="Y27" i="6"/>
  <c r="T27" i="6"/>
  <c r="V27" i="6" s="1"/>
  <c r="AH26" i="6"/>
  <c r="AI26" i="6" s="1"/>
  <c r="Z26" i="6"/>
  <c r="AB26" i="6" s="1"/>
  <c r="Y26" i="6"/>
  <c r="T26" i="6"/>
  <c r="V26" i="6" s="1"/>
  <c r="AH25" i="6"/>
  <c r="AI25" i="6" s="1"/>
  <c r="Z25" i="6"/>
  <c r="AB25" i="6" s="1"/>
  <c r="Y25" i="6"/>
  <c r="T25" i="6"/>
  <c r="V25" i="6" s="1"/>
  <c r="AH24" i="6"/>
  <c r="AI24" i="6" s="1"/>
  <c r="Z24" i="6"/>
  <c r="AB24" i="6" s="1"/>
  <c r="Y24" i="6"/>
  <c r="T24" i="6"/>
  <c r="V24" i="6" s="1"/>
  <c r="AH23" i="6"/>
  <c r="AI23" i="6" s="1"/>
  <c r="Z23" i="6"/>
  <c r="AB23" i="6" s="1"/>
  <c r="Y23" i="6"/>
  <c r="T23" i="6"/>
  <c r="V23" i="6" s="1"/>
  <c r="AH22" i="6"/>
  <c r="AI22" i="6" s="1"/>
  <c r="Z22" i="6"/>
  <c r="AB22" i="6" s="1"/>
  <c r="Y22" i="6"/>
  <c r="T22" i="6"/>
  <c r="V22" i="6" s="1"/>
  <c r="AH21" i="6"/>
  <c r="AI21" i="6" s="1"/>
  <c r="Z21" i="6"/>
  <c r="AB21" i="6" s="1"/>
  <c r="Y21" i="6"/>
  <c r="T21" i="6"/>
  <c r="V21" i="6" s="1"/>
  <c r="AH20" i="6"/>
  <c r="AI20" i="6" s="1"/>
  <c r="Z20" i="6"/>
  <c r="AB20" i="6" s="1"/>
  <c r="Y20" i="6"/>
  <c r="T20" i="6"/>
  <c r="V20" i="6" s="1"/>
  <c r="AH19" i="6"/>
  <c r="AI19" i="6" s="1"/>
  <c r="Z19" i="6"/>
  <c r="AB19" i="6" s="1"/>
  <c r="Y19" i="6"/>
  <c r="T19" i="6"/>
  <c r="V19" i="6" s="1"/>
  <c r="AH18" i="6"/>
  <c r="AI18" i="6" s="1"/>
  <c r="Z18" i="6"/>
  <c r="AB18" i="6" s="1"/>
  <c r="Y18" i="6"/>
  <c r="T18" i="6"/>
  <c r="V18" i="6" s="1"/>
  <c r="AH17" i="6"/>
  <c r="AI17" i="6" s="1"/>
  <c r="Z17" i="6"/>
  <c r="AB17" i="6" s="1"/>
  <c r="Y17" i="6"/>
  <c r="T17" i="6"/>
  <c r="V17" i="6" s="1"/>
  <c r="AH16" i="6"/>
  <c r="AI16" i="6" s="1"/>
  <c r="Z16" i="6"/>
  <c r="AB16" i="6" s="1"/>
  <c r="Y16" i="6"/>
  <c r="T16" i="6"/>
  <c r="V16" i="6" s="1"/>
  <c r="AH15" i="6"/>
  <c r="AI15" i="6" s="1"/>
  <c r="Z15" i="6"/>
  <c r="AB15" i="6" s="1"/>
  <c r="Y15" i="6"/>
  <c r="T15" i="6"/>
  <c r="V15" i="6" s="1"/>
  <c r="AH14" i="6"/>
  <c r="AI14" i="6" s="1"/>
  <c r="Z14" i="6"/>
  <c r="AB14" i="6" s="1"/>
  <c r="Y14" i="6"/>
  <c r="T14" i="6"/>
  <c r="V14" i="6" s="1"/>
  <c r="AH13" i="6"/>
  <c r="AI13" i="6" s="1"/>
  <c r="Z13" i="6"/>
  <c r="AB13" i="6" s="1"/>
  <c r="Y13" i="6"/>
  <c r="T13" i="6"/>
  <c r="V13" i="6" s="1"/>
  <c r="AH12" i="6"/>
  <c r="AI12" i="6" s="1"/>
  <c r="Z12" i="6"/>
  <c r="AB12" i="6" s="1"/>
  <c r="Y12" i="6"/>
  <c r="T12" i="6"/>
  <c r="V12" i="6" s="1"/>
  <c r="AH11" i="6"/>
  <c r="AI11" i="6" s="1"/>
  <c r="Z11" i="6"/>
  <c r="AB11" i="6" s="1"/>
  <c r="Y11" i="6"/>
  <c r="T11" i="6"/>
  <c r="V11" i="6" s="1"/>
  <c r="AH10" i="6"/>
  <c r="AI10" i="6" s="1"/>
  <c r="Z10" i="6"/>
  <c r="AB10" i="6" s="1"/>
  <c r="Y10" i="6"/>
  <c r="T10" i="6"/>
  <c r="V10" i="6" s="1"/>
  <c r="AH9" i="6"/>
  <c r="AI9" i="6" s="1"/>
  <c r="Z9" i="6"/>
  <c r="AB9" i="6" s="1"/>
  <c r="Y9" i="6"/>
  <c r="T9" i="6"/>
  <c r="V9" i="6" s="1"/>
  <c r="AH8" i="6"/>
  <c r="AI8" i="6" s="1"/>
  <c r="Z8" i="6"/>
  <c r="AB8" i="6" s="1"/>
  <c r="Y8" i="6"/>
  <c r="T8" i="6"/>
  <c r="V8" i="6" s="1"/>
  <c r="AH7" i="6"/>
  <c r="AI7" i="6" s="1"/>
  <c r="Z7" i="6"/>
  <c r="AB7" i="6" s="1"/>
  <c r="Y7" i="6"/>
  <c r="T7" i="6"/>
  <c r="V7" i="6" s="1"/>
  <c r="AH6" i="6"/>
  <c r="AI6" i="6" s="1"/>
  <c r="Z6" i="6"/>
  <c r="AB6" i="6" s="1"/>
  <c r="Y6" i="6"/>
  <c r="T6" i="6"/>
  <c r="V6" i="6" s="1"/>
  <c r="AH5" i="6"/>
  <c r="AI5" i="6" s="1"/>
  <c r="Z5" i="6"/>
  <c r="AB5" i="6" s="1"/>
  <c r="Y5" i="6"/>
  <c r="T5" i="6"/>
  <c r="V5" i="6" s="1"/>
  <c r="AH4" i="6"/>
  <c r="AI4" i="6" s="1"/>
  <c r="Z4" i="6"/>
  <c r="AB4" i="6" s="1"/>
  <c r="Y4" i="6"/>
  <c r="T4" i="6"/>
  <c r="V4" i="6" s="1"/>
  <c r="AH3" i="6"/>
  <c r="AI3" i="6" s="1"/>
  <c r="Z3" i="6"/>
  <c r="AB3" i="6" s="1"/>
  <c r="Y3" i="6"/>
  <c r="T3" i="6"/>
  <c r="V3" i="6" s="1"/>
  <c r="G28" i="6" l="1"/>
  <c r="G5" i="6"/>
  <c r="G9" i="6"/>
  <c r="G13" i="6"/>
  <c r="G17" i="6"/>
  <c r="G21" i="6"/>
  <c r="G25" i="6"/>
  <c r="G6" i="6"/>
  <c r="G10" i="6"/>
  <c r="G14" i="6"/>
  <c r="G18" i="6"/>
  <c r="G22" i="6"/>
  <c r="G26" i="6"/>
  <c r="G3" i="6"/>
  <c r="G7" i="6"/>
  <c r="G11" i="6"/>
  <c r="G15" i="6"/>
  <c r="G19" i="6"/>
  <c r="G23" i="6"/>
  <c r="G27" i="6"/>
  <c r="G4" i="6"/>
  <c r="G8" i="6"/>
  <c r="G12" i="6"/>
  <c r="G16" i="6"/>
  <c r="G20" i="6"/>
  <c r="G24" i="6"/>
  <c r="E10" i="6"/>
  <c r="K21" i="1"/>
  <c r="K26" i="1"/>
  <c r="K27" i="1"/>
  <c r="K28" i="1"/>
  <c r="K22" i="1"/>
  <c r="K23" i="1"/>
  <c r="K24" i="1"/>
  <c r="K25" i="1"/>
  <c r="M4" i="1" l="1"/>
  <c r="M5" i="1"/>
  <c r="M6" i="1"/>
  <c r="M7" i="1"/>
  <c r="M8" i="1"/>
  <c r="M9" i="1"/>
  <c r="M10" i="1"/>
  <c r="M11" i="1"/>
  <c r="M12" i="1"/>
  <c r="M13" i="1"/>
  <c r="M14" i="1"/>
  <c r="M15" i="1"/>
  <c r="M16" i="1"/>
  <c r="M17" i="1"/>
  <c r="M18" i="1"/>
  <c r="M19" i="1"/>
  <c r="M20" i="1"/>
  <c r="M21" i="1"/>
  <c r="M22" i="1"/>
  <c r="M23" i="1"/>
  <c r="M24" i="1"/>
  <c r="M25" i="1"/>
  <c r="M26" i="1"/>
  <c r="M27" i="1"/>
  <c r="M28" i="1"/>
  <c r="M3" i="1"/>
  <c r="L4" i="1"/>
  <c r="L5" i="1"/>
  <c r="L6" i="1"/>
  <c r="L7" i="1"/>
  <c r="L8" i="1"/>
  <c r="L9" i="1"/>
  <c r="L10" i="1"/>
  <c r="L11" i="1"/>
  <c r="L12" i="1"/>
  <c r="L13" i="1"/>
  <c r="L14" i="1"/>
  <c r="L15" i="1"/>
  <c r="L16" i="1"/>
  <c r="L17" i="1"/>
  <c r="L18" i="1"/>
  <c r="L19" i="1"/>
  <c r="L20" i="1"/>
  <c r="L21" i="1"/>
  <c r="L22" i="1"/>
  <c r="L23" i="1"/>
  <c r="L24" i="1"/>
  <c r="L25" i="1"/>
  <c r="L26" i="1"/>
  <c r="L27" i="1"/>
  <c r="L28" i="1"/>
  <c r="L3" i="1"/>
  <c r="K3" i="1"/>
  <c r="J20"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Y29" i="1"/>
  <c r="Y30" i="1"/>
  <c r="Y31" i="1"/>
  <c r="Y32" i="1"/>
  <c r="Y33" i="1"/>
  <c r="Y34" i="1"/>
  <c r="Y35" i="1"/>
  <c r="Y36" i="1"/>
  <c r="Y37" i="1"/>
  <c r="Y38" i="1"/>
  <c r="Y39" i="1"/>
  <c r="Y40" i="1"/>
  <c r="Y41" i="1"/>
  <c r="Y42" i="1"/>
  <c r="Y43" i="1"/>
  <c r="Y44" i="1"/>
  <c r="Y45" i="1"/>
  <c r="Y46" i="1"/>
  <c r="Y47" i="1"/>
  <c r="Y48" i="1"/>
  <c r="Y49" i="1"/>
  <c r="Y50" i="1"/>
  <c r="Y51" i="1"/>
  <c r="Y52" i="1"/>
  <c r="Y53" i="1"/>
  <c r="Y54" i="1"/>
  <c r="T29" i="1"/>
  <c r="V29" i="1" s="1"/>
  <c r="T30" i="1"/>
  <c r="V30" i="1" s="1"/>
  <c r="T31" i="1"/>
  <c r="V31" i="1" s="1"/>
  <c r="T32" i="1"/>
  <c r="V32" i="1" s="1"/>
  <c r="T33" i="1"/>
  <c r="V33" i="1" s="1"/>
  <c r="T34" i="1"/>
  <c r="V34" i="1" s="1"/>
  <c r="T35" i="1"/>
  <c r="V35" i="1" s="1"/>
  <c r="T36" i="1"/>
  <c r="V36" i="1" s="1"/>
  <c r="T37" i="1"/>
  <c r="V37" i="1" s="1"/>
  <c r="T38" i="1"/>
  <c r="V38" i="1" s="1"/>
  <c r="T39" i="1"/>
  <c r="V39" i="1" s="1"/>
  <c r="T40" i="1"/>
  <c r="V40" i="1" s="1"/>
  <c r="T41" i="1"/>
  <c r="V41" i="1" s="1"/>
  <c r="T42" i="1"/>
  <c r="V42" i="1" s="1"/>
  <c r="T43" i="1"/>
  <c r="V43" i="1" s="1"/>
  <c r="T44" i="1"/>
  <c r="V44" i="1" s="1"/>
  <c r="T45" i="1"/>
  <c r="V45" i="1" s="1"/>
  <c r="T46" i="1"/>
  <c r="V46" i="1" s="1"/>
  <c r="T47" i="1"/>
  <c r="V47" i="1" s="1"/>
  <c r="T48" i="1"/>
  <c r="V48" i="1" s="1"/>
  <c r="T49" i="1"/>
  <c r="V49" i="1" s="1"/>
  <c r="T50" i="1"/>
  <c r="V50" i="1" s="1"/>
  <c r="T51" i="1"/>
  <c r="V51" i="1" s="1"/>
  <c r="T52" i="1"/>
  <c r="V52" i="1" s="1"/>
  <c r="T53" i="1"/>
  <c r="V53" i="1" s="1"/>
  <c r="T54" i="1"/>
  <c r="V54" i="1" s="1"/>
  <c r="G23" i="1" l="1"/>
  <c r="G27" i="1"/>
  <c r="G5" i="1"/>
  <c r="G9" i="1"/>
  <c r="G13" i="1"/>
  <c r="G17" i="1"/>
  <c r="G21" i="1"/>
  <c r="G24" i="1"/>
  <c r="G28" i="1"/>
  <c r="G6" i="1"/>
  <c r="G10" i="1"/>
  <c r="G14" i="1"/>
  <c r="G18" i="1"/>
  <c r="G3" i="1"/>
  <c r="G25" i="1"/>
  <c r="G22" i="1"/>
  <c r="G7" i="1"/>
  <c r="G11" i="1"/>
  <c r="G15" i="1"/>
  <c r="G19" i="1"/>
  <c r="G26" i="1"/>
  <c r="G4" i="1"/>
  <c r="G8" i="1"/>
  <c r="G12" i="1"/>
  <c r="G16" i="1"/>
  <c r="G20" i="1"/>
  <c r="E10" i="1"/>
  <c r="K4" i="1"/>
  <c r="K5" i="1"/>
  <c r="K6" i="1"/>
  <c r="K7" i="1"/>
  <c r="K8" i="1"/>
  <c r="K9" i="1"/>
  <c r="K10" i="1"/>
  <c r="K11" i="1"/>
  <c r="K12" i="1"/>
  <c r="K13" i="1"/>
  <c r="K14" i="1"/>
  <c r="K15" i="1"/>
  <c r="K16" i="1"/>
  <c r="K17" i="1"/>
  <c r="K18" i="1"/>
  <c r="K19" i="1"/>
  <c r="K20" i="1"/>
  <c r="AH4" i="1" l="1"/>
  <c r="AI4" i="1" s="1"/>
  <c r="AH5" i="1"/>
  <c r="AI5" i="1" s="1"/>
  <c r="AH6" i="1"/>
  <c r="AI6" i="1" s="1"/>
  <c r="AH7" i="1"/>
  <c r="AI7" i="1" s="1"/>
  <c r="AH8" i="1"/>
  <c r="AI8" i="1" s="1"/>
  <c r="AH9" i="1"/>
  <c r="AI9" i="1" s="1"/>
  <c r="AH10" i="1"/>
  <c r="AI10" i="1" s="1"/>
  <c r="AH11" i="1"/>
  <c r="AI11" i="1" s="1"/>
  <c r="AH12" i="1"/>
  <c r="AI12" i="1" s="1"/>
  <c r="AH13" i="1"/>
  <c r="AI13" i="1" s="1"/>
  <c r="AH14" i="1"/>
  <c r="AI14" i="1" s="1"/>
  <c r="AH15" i="1"/>
  <c r="AI15" i="1" s="1"/>
  <c r="AH16" i="1"/>
  <c r="AI16" i="1" s="1"/>
  <c r="AH17" i="1"/>
  <c r="AI17" i="1" s="1"/>
  <c r="AH18" i="1"/>
  <c r="AI18" i="1" s="1"/>
  <c r="AH19" i="1"/>
  <c r="AI19" i="1" s="1"/>
  <c r="AH20" i="1"/>
  <c r="AI20" i="1" s="1"/>
  <c r="AH21" i="1"/>
  <c r="AI21" i="1" s="1"/>
  <c r="AH22" i="1"/>
  <c r="AI22" i="1" s="1"/>
  <c r="AH23" i="1"/>
  <c r="AI23" i="1" s="1"/>
  <c r="AH24" i="1"/>
  <c r="AI24" i="1" s="1"/>
  <c r="AH25" i="1"/>
  <c r="AI25" i="1" s="1"/>
  <c r="AH26" i="1"/>
  <c r="AI26" i="1" s="1"/>
  <c r="AH27" i="1"/>
  <c r="AI27" i="1" s="1"/>
  <c r="AH28" i="1"/>
  <c r="AI28" i="1" s="1"/>
  <c r="AH3" i="1"/>
  <c r="AI3" i="1" s="1"/>
  <c r="AB4" i="1" l="1"/>
  <c r="AB5" i="1"/>
  <c r="AB6" i="1"/>
  <c r="AB7" i="1"/>
  <c r="AB8" i="1"/>
  <c r="AB9" i="1"/>
  <c r="AB10" i="1"/>
  <c r="AB11" i="1"/>
  <c r="AB12" i="1"/>
  <c r="AB13" i="1"/>
  <c r="AB14" i="1"/>
  <c r="AB15" i="1"/>
  <c r="AB16" i="1"/>
  <c r="AB17" i="1"/>
  <c r="AB18" i="1"/>
  <c r="AB19" i="1"/>
  <c r="AB20" i="1"/>
  <c r="AB21" i="1"/>
  <c r="AB22" i="1"/>
  <c r="AB23" i="1"/>
  <c r="AB24" i="1"/>
  <c r="AB25" i="1"/>
  <c r="AB26" i="1"/>
  <c r="AB27" i="1"/>
  <c r="AB28" i="1"/>
  <c r="AB3" i="1"/>
  <c r="Y4" i="1"/>
  <c r="Y5" i="1"/>
  <c r="Y6" i="1"/>
  <c r="Y7" i="1"/>
  <c r="Y8" i="1"/>
  <c r="Y9" i="1"/>
  <c r="Y10" i="1"/>
  <c r="Y11" i="1"/>
  <c r="Y12" i="1"/>
  <c r="Y13" i="1"/>
  <c r="Y14" i="1"/>
  <c r="Y15" i="1"/>
  <c r="Y16" i="1"/>
  <c r="Y17" i="1"/>
  <c r="Y18" i="1"/>
  <c r="Y19" i="1"/>
  <c r="Y20" i="1"/>
  <c r="Y21" i="1"/>
  <c r="Y22" i="1"/>
  <c r="Y23" i="1"/>
  <c r="Y24" i="1"/>
  <c r="Y25" i="1"/>
  <c r="Y26" i="1"/>
  <c r="Y27" i="1"/>
  <c r="Y28" i="1"/>
  <c r="Y3" i="1"/>
  <c r="T4" i="1" l="1"/>
  <c r="V4" i="1" s="1"/>
  <c r="T5" i="1"/>
  <c r="V5" i="1" s="1"/>
  <c r="T6" i="1"/>
  <c r="V6" i="1" s="1"/>
  <c r="T7" i="1"/>
  <c r="V7" i="1" s="1"/>
  <c r="T8" i="1"/>
  <c r="V8" i="1" s="1"/>
  <c r="T9" i="1"/>
  <c r="V9" i="1" s="1"/>
  <c r="T10" i="1"/>
  <c r="V10" i="1" s="1"/>
  <c r="T11" i="1"/>
  <c r="V11" i="1" s="1"/>
  <c r="T12" i="1"/>
  <c r="V12" i="1" s="1"/>
  <c r="T13" i="1"/>
  <c r="V13" i="1" s="1"/>
  <c r="T14" i="1"/>
  <c r="V14" i="1" s="1"/>
  <c r="T15" i="1"/>
  <c r="V15" i="1" s="1"/>
  <c r="T16" i="1"/>
  <c r="V16" i="1" s="1"/>
  <c r="T17" i="1"/>
  <c r="V17" i="1" s="1"/>
  <c r="T18" i="1"/>
  <c r="V18" i="1" s="1"/>
  <c r="T19" i="1"/>
  <c r="V19" i="1" s="1"/>
  <c r="T20" i="1"/>
  <c r="V20" i="1" s="1"/>
  <c r="T21" i="1"/>
  <c r="V21" i="1" s="1"/>
  <c r="T22" i="1"/>
  <c r="V22" i="1" s="1"/>
  <c r="T23" i="1"/>
  <c r="V23" i="1" s="1"/>
  <c r="T24" i="1"/>
  <c r="V24" i="1" s="1"/>
  <c r="T25" i="1"/>
  <c r="V25" i="1" s="1"/>
  <c r="T26" i="1"/>
  <c r="V26" i="1" s="1"/>
  <c r="T27" i="1"/>
  <c r="V27" i="1" s="1"/>
  <c r="T28" i="1"/>
  <c r="V28" i="1" s="1"/>
  <c r="T3" i="1"/>
  <c r="V3" i="1" s="1"/>
</calcChain>
</file>

<file path=xl/sharedStrings.xml><?xml version="1.0" encoding="utf-8"?>
<sst xmlns="http://schemas.openxmlformats.org/spreadsheetml/2006/main" count="694" uniqueCount="150">
  <si>
    <t>Position</t>
  </si>
  <si>
    <t>Team</t>
  </si>
  <si>
    <t>Points</t>
  </si>
  <si>
    <t>Young Racing</t>
  </si>
  <si>
    <t>Team Eternal</t>
  </si>
  <si>
    <t>EXO-Force</t>
  </si>
  <si>
    <t>Renault Factory</t>
  </si>
  <si>
    <t>Renault Deux</t>
  </si>
  <si>
    <t>Alpine Blues</t>
  </si>
  <si>
    <t>Firenze Motorsport</t>
  </si>
  <si>
    <t>Sakurai Hillclimb</t>
  </si>
  <si>
    <t>Monchengladbach</t>
  </si>
  <si>
    <t>Team McLaren</t>
  </si>
  <si>
    <t>White Arrow</t>
  </si>
  <si>
    <t>Super Modified</t>
  </si>
  <si>
    <t>Deutsche Schnell</t>
  </si>
  <si>
    <t>Xtra Xtreme</t>
  </si>
  <si>
    <t>Prototype Aspect</t>
  </si>
  <si>
    <t>Drehkraft</t>
  </si>
  <si>
    <t>Team Hotwheels</t>
  </si>
  <si>
    <t>Morgen Racing</t>
  </si>
  <si>
    <t>Eliminacion</t>
  </si>
  <si>
    <t>Euro Rand</t>
  </si>
  <si>
    <t>Divi-Zero</t>
  </si>
  <si>
    <t>Milano Passion</t>
  </si>
  <si>
    <t>GripZone</t>
  </si>
  <si>
    <t>PROJECT CAR</t>
  </si>
  <si>
    <t>Agent 17</t>
  </si>
  <si>
    <t>Autocross Racing</t>
  </si>
  <si>
    <t>Previous Total</t>
  </si>
  <si>
    <t>Race Total</t>
  </si>
  <si>
    <t>Formula Total</t>
  </si>
  <si>
    <t>Won last race?</t>
  </si>
  <si>
    <t>Race Wins</t>
  </si>
  <si>
    <t>Race Win Formula</t>
  </si>
  <si>
    <t>Wins</t>
  </si>
  <si>
    <t>Podium last race?</t>
  </si>
  <si>
    <t>Podiums</t>
  </si>
  <si>
    <t>Podiums Formula</t>
  </si>
  <si>
    <t>Previous Race Results</t>
  </si>
  <si>
    <t>Team Standings</t>
  </si>
  <si>
    <t xml:space="preserve">                                                                                                                                                                                                                                                                                                                                                                                                                                                                                                                                                                                                                                                                                                                                                                                                                                                                                                                                                                                                                                                                                                                                                                                                                                                                                                                                                                                                                                                                                                                                                                                                                                                                                                                                                                                                                                                                                                                                                                                                                                                                                                                                                                                                                                                                                                                                                                                                                                                                                                                                                                                                                                                                                                                                                                                                                                                                                                                                                                                                                                                                                                   </t>
  </si>
  <si>
    <t>Pos</t>
  </si>
  <si>
    <t>Δ</t>
  </si>
  <si>
    <t>Last Race</t>
  </si>
  <si>
    <t>Delta</t>
  </si>
  <si>
    <t>Delta Formula</t>
  </si>
  <si>
    <t>New</t>
  </si>
  <si>
    <t>Old</t>
  </si>
  <si>
    <t>HaRyumi</t>
  </si>
  <si>
    <t>Prancing Horse</t>
  </si>
  <si>
    <t>MOPAR Motorsport</t>
  </si>
  <si>
    <t>Team Death</t>
  </si>
  <si>
    <t>Team H.O.T</t>
  </si>
  <si>
    <t>Ravenwest</t>
  </si>
  <si>
    <t>Trans-America Pacers</t>
  </si>
  <si>
    <t>Talon's Garage</t>
  </si>
  <si>
    <t>FullyTuned</t>
  </si>
  <si>
    <t>DownFOURs</t>
  </si>
  <si>
    <t>Tuned Muscle</t>
  </si>
  <si>
    <t>Datsun Enthusiast</t>
  </si>
  <si>
    <t>Venomous Sting</t>
  </si>
  <si>
    <t>Welsh Rally Team</t>
  </si>
  <si>
    <t>Team Mastretta</t>
  </si>
  <si>
    <t>Raging Bull Racing</t>
  </si>
  <si>
    <t>Team Slim</t>
  </si>
  <si>
    <t>Yellow Lion</t>
  </si>
  <si>
    <t>RWD Prowess</t>
  </si>
  <si>
    <t>e.dams eteam</t>
  </si>
  <si>
    <t>High Voltage Racing</t>
  </si>
  <si>
    <t>Degenaro</t>
  </si>
  <si>
    <t>VTEC Estate</t>
  </si>
  <si>
    <t>Maximum Attack</t>
  </si>
  <si>
    <t>Mastretta B</t>
  </si>
  <si>
    <t>Rising Sun Racing</t>
  </si>
  <si>
    <t>Relegated Teams</t>
  </si>
  <si>
    <t>Playoffs</t>
  </si>
  <si>
    <t>Coeff</t>
  </si>
  <si>
    <t>WSR</t>
  </si>
  <si>
    <t>WSR LIST</t>
  </si>
  <si>
    <t>Select a Team</t>
  </si>
  <si>
    <t>Select a team from the drop-down list above and their team description will be displayed here.</t>
  </si>
  <si>
    <t>Team Select:</t>
  </si>
  <si>
    <t>The Agent 17 team races with a perculiar choice of car - the Aston Martin DB10, with the (thought to be) fictional engine from the James Bond movie, Spectre. They hope their one-of-a-kind vehicle can propel them to victory in fashionable style.</t>
  </si>
  <si>
    <t>With Divi-Zero, you're always racing against the clock. The team are masters in the Time Attack discipline, and are eager to translate that prowess into circuit racing. Expect your fastest laps in qualifying and races to be broken by a Divi-Zero car.</t>
  </si>
  <si>
    <t>The Eliminacion team loves to get up close and personal. They aren't subtle at all with their overtakes, trading paint with opponent vehicles is in their blood. One of the most aggressive teams in the racing series, panic when you see them in your mirrors.</t>
  </si>
  <si>
    <t>A team with a record 6 WSR titles, Sakurai Hillclimb certainly are used to fighting for the top spot, however their Hillclimb-Spec Acura NSX has been finding the opponent teams in recent seasons a bit challenging. They expect to still be a serious title contender.</t>
  </si>
  <si>
    <t>Having the green Xtra Xtreme car in your mirrors is some real cause for concern. The Xtra Xtreme team has loaded their car with a chockful of grip and an equal amount of power, giving them unmatched cornering speeds and overtake capabilities. Expect them to contend for the win every race.</t>
  </si>
  <si>
    <t>Defending champions Team McLaren is fielding their McLaren P1 hypercar, with unprecedented speed off the line and on the straights. Having one of the most dominant cars in the series helps when your goal is to leave opponents eating dust.</t>
  </si>
  <si>
    <t>Team Data</t>
  </si>
  <si>
    <t>Aggression</t>
  </si>
  <si>
    <t>Aggression:</t>
  </si>
  <si>
    <t>Competitiveness:</t>
  </si>
  <si>
    <t>Founded by twins, Harumi and Ayumi, the team is passionate and sticks to their Japanese car culture, sporting a Nissan Skyline R34 NISMO. Highly modified and quick off the line, their strategy is to be first - and stay first.</t>
  </si>
  <si>
    <t>WSR 2</t>
  </si>
  <si>
    <t>WSR 2 List</t>
  </si>
  <si>
    <t>N/A</t>
  </si>
  <si>
    <t>The MOPAR Motorsport team aims to showcase the capabilities of their modified road cars, fielding a Dodge Charger Hellcat for races. A philosophy of having "not enough power" seems to be written on the garage walls around here.</t>
  </si>
  <si>
    <t>Autocross Racing tunes their cars to tackle the toughest of corners on any circuit with precision. No circuit is too complicated for them, they know the inside-outs of each corner by heart. They usually do very well, until there's an opponent car in the way.</t>
  </si>
  <si>
    <t>The Italian team Firenze Motorsport are in it for the love for racing - not particularly bothered about results. This doesn't mean they are a pushover on the track, when it comes to push, Firenze takes no prisoners.</t>
  </si>
  <si>
    <t>The B-team to Team Mastretta, a lower-powered, more budget racing vehicle is handed to a prospective talent to prove their skills - and possible promotion to the main team. You must be a member of this team to receive an offer from Team Mastretta.</t>
  </si>
  <si>
    <t>An identical Renault Sport RS01 lines up on the start line under the Renault Deux team. This is a B-team for the Renault Factory team, and often puts up strong finishes. Going toe-to-toe with the Renault Factory team, will attract attention from the A-team. You must be a member of this team to recieve an offer from the Renault Factory Team.</t>
  </si>
  <si>
    <t>The Renault Factory team is going for the title with the Renault Sport RS01, and has proven to be quite competitive and worthy of winning races. However, to earn a seat in the team, you must first be part of the Renault Deux team. You can not join this team directly.</t>
  </si>
  <si>
    <t xml:space="preserve">The EXO-Force is the most secretive team in the entire racing series. Their lead driver, Sever, never speaks a word and can only found donning overalls matching the jet black colour on their cars. EXO-Force races to win, and they never celebrate - Sever collects the trophy and adds it to their cabinet. This team is highly competitive. You may not join this team. </t>
  </si>
  <si>
    <t>Follow a Team:</t>
  </si>
  <si>
    <t>Choose a Team</t>
  </si>
  <si>
    <t>Established in the UK, the English team Morgen Racing proudly flies the Union Jack on their British vehicles. The team has a long heritage and their philosophy of racing has hardly changed in many decades. Their trophy cabinet of past achievements commands some form of respect from the other teams.</t>
  </si>
  <si>
    <t>Young Racing is affliated with Dodge, and only runs vehicles from the manufacturer. This US-based team flies the colours of their flag proudly, and keeps a very keen eye on up-and-coming potential young talent. The race for the seat is heated and expect only the best to be piloting a Young Racing car.</t>
  </si>
  <si>
    <t xml:space="preserve">Drehkraft Motorsports is a Deutsch team that is obsessed with aftermarket parts. The Drekhkraft cars are always kitted out with the most sophisticated of race parts, bringing out the maximum potential of German engineering. </t>
  </si>
  <si>
    <t>C:\Users\tooea\Music\UI-2.WAV</t>
  </si>
  <si>
    <t>Play Sounds?</t>
  </si>
  <si>
    <t>Sound?</t>
  </si>
  <si>
    <t>(Select from WSR Sheet)</t>
  </si>
  <si>
    <t xml:space="preserve">The DeGenaro team specialises in high perfomance modified racing parts. They are always experimenting with new parts, to give their driver an edge over their rivals. Expect the DeGenaro car to increase in performance over the course of a season. </t>
  </si>
  <si>
    <t>Euro Rand is a big name, joining the league from the European Touring Car series. The fierce and ruthless conduct of the Euro Rand touring car means they aren't afraid to trade paint with an opponent if it allows them to overtake. Divebombing up the inside is a tactic frequently employed by this team.</t>
  </si>
  <si>
    <t>Fielding a Honda Odyssey as their racing machine, the VTEC Estate team stands out quite literally as having the largest car on the grid. Slow acceleration and extreme understeer are big issues, but the large size of the people-carrier does deter overtakes quite often.</t>
  </si>
  <si>
    <t>Prototype Aspect pushes the boundaries of the WSR regulations by fielding fully custom-built racing machines. A huge all-or-nothing for the team, their seasons can be extremely swingy, either doing extremely well with a great prototype, or hovering in the relegation zone with a prototype that doesn't really work.</t>
  </si>
  <si>
    <t>The Yellow Lion roars on the track with the pride of a thousand felines, and it can be seen in the pitlane as well. A highly passionate team, they are well-loved in the paddock, however they might struggle to bring home valuable points.</t>
  </si>
  <si>
    <t>AccidentProne</t>
  </si>
  <si>
    <t>IncidentProne</t>
  </si>
  <si>
    <t>Strategy</t>
  </si>
  <si>
    <t>Defending</t>
  </si>
  <si>
    <t>RainAbility</t>
  </si>
  <si>
    <t>PitstopEfficiency</t>
  </si>
  <si>
    <t>PitstopFreq</t>
  </si>
  <si>
    <t>GoodStart</t>
  </si>
  <si>
    <t>BadStart</t>
  </si>
  <si>
    <t>Display Info:</t>
  </si>
  <si>
    <t xml:space="preserve">Defending 
Starts
Rain Ability
Strategy
Pitstops
Incident Frequency
</t>
  </si>
  <si>
    <t>Defending:</t>
  </si>
  <si>
    <t>Strategy:</t>
  </si>
  <si>
    <t>Rain Ability:</t>
  </si>
  <si>
    <t>Starts:</t>
  </si>
  <si>
    <t>Incident Frequency:</t>
  </si>
  <si>
    <t>Qualifying:</t>
  </si>
  <si>
    <t>Reputation:</t>
  </si>
  <si>
    <t>Description</t>
  </si>
  <si>
    <t>Team Eternal's turquoise Sesto Elemento catches both the eyes and the hearts of the fans. Their undying will to compete is admirable and serves to put their Lamborghini high on the standings, regardless of any incident that happens on the track. Push them off the track, and they will hunt you down and overtake you.</t>
  </si>
  <si>
    <t>Team Mastretta is a medium budget works team that strives to place high with the few resources they have. The Mexican team is often the underdog, but is also highly respected in the pitlane for their incredible work ethic. You must be promoted from the Mastretta B team to land a seat in this team.</t>
  </si>
  <si>
    <t>Masters of dirt and gravel, the Welsh Rally Team steps into the WSR with an incredibly nippy and short rally car. Their quick reflexes often allows them to navigate their way around and past their larger, clumsier opponents. As par for the course of a rally team, their efficient mechanics help make up time in the pits if they do happen to crash.</t>
  </si>
  <si>
    <t>Piloting unusual cars in the WSR is in the blood of the Super Modified team, with their seemingly slow car choices often surprising the competition by being competitive with extreme upgrades under the hood. While often unstable and unreliable cars, they can sometimes leave fully-fledged racecars eating their dust.</t>
  </si>
  <si>
    <t>The White Arrow is the nickname for the white Sesto Elemento that always seems to prop up the front of the grid. The team prioritises lap time; their increased grip very often means that once they find a way past an opponent, they will open up a huge gap really quickly.</t>
  </si>
  <si>
    <t>A customer team fielding a Renault Sport RS01, the Alpine Blues team still manages to challenge the Renault Factory team for track position. Pulling in from their experience in mountainside asphalt racing, their version of the RS01 takes flowing bends superbly - and with style at the same time</t>
  </si>
  <si>
    <t>Team Death swears by Chevrolet vehicles as they are the vehicle of choice of cutting opponents off on the track. With a team name like Team Death, you can expect no mercy and fairly dirty overtakes. Losing a front bumper would be seen as "saving weight" in this team.</t>
  </si>
  <si>
    <t>max 0.1</t>
  </si>
  <si>
    <t>max 0.25</t>
  </si>
  <si>
    <t>Pitstops:</t>
  </si>
  <si>
    <t>WIP</t>
  </si>
  <si>
    <t>Their name strikes fear into their fellow competitiors. Ravenwest is one of the most globally respected teams, winning races across many different disciplines and the WSR is no exception. Their deep pool of drivers means they always have the best driver for the race - and they aren't afraid to drop drivers at will.</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</si>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</sst>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8" x14ac:knownFonts="1">
    <font>
      <sz val="11"/>
      <color theme="1"/>
      <name val="Calibri"/>
      <family val="2"/>
      <scheme val="minor"/>
    </font>
    <font>
      <sz val="11"/>
      <color rgb="FF000000"/>
      <name val="Calibri"/>
      <family val="2"/>
    </font>
    <font>
      <b/>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u/>
      <sz val="11"/>
      <name val="Calibri"/>
      <family val="2"/>
      <scheme val="minor"/>
    </font>
  </fonts>
  <fills count="3">
    <fill>
      <patternFill patternType="none"/>
    </fill>
    <fill>
      <patternFill patternType="gray125"/>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s>
  <cellStyleXfs count="1">
    <xf numFmtId="0" fontId="0" fillId="0" borderId="0"/>
  </cellStyleXfs>
  <cellXfs count="64">
    <xf numFmtId="0" fontId="0" fillId="0" borderId="0" xfId="0"/>
    <xf numFmtId="0" fontId="0" fillId="0" borderId="1" xfId="0" applyBorder="1"/>
    <xf numFmtId="0" fontId="0" fillId="0" borderId="1" xfId="0" applyFill="1" applyBorder="1"/>
    <xf numFmtId="0" fontId="0" fillId="0" borderId="0" xfId="0" applyBorder="1"/>
    <xf numFmtId="0" fontId="0" fillId="0" borderId="1" xfId="0" applyFont="1" applyBorder="1"/>
    <xf numFmtId="0" fontId="0" fillId="0" borderId="1" xfId="0" applyBorder="1" applyAlignment="1">
      <alignment horizontal="right"/>
    </xf>
    <xf numFmtId="0" fontId="0" fillId="0" borderId="0" xfId="0" applyNumberFormat="1"/>
    <xf numFmtId="0" fontId="0" fillId="2" borderId="3" xfId="0" applyFill="1" applyBorder="1" applyAlignment="1">
      <alignment horizontal="right"/>
    </xf>
    <xf numFmtId="0" fontId="0" fillId="2" borderId="4" xfId="0" applyFill="1" applyBorder="1"/>
    <xf numFmtId="0" fontId="0" fillId="2" borderId="5" xfId="0" applyFill="1" applyBorder="1"/>
    <xf numFmtId="0" fontId="2" fillId="2" borderId="4" xfId="0" applyFont="1" applyFill="1" applyBorder="1"/>
    <xf numFmtId="0" fontId="2" fillId="0" borderId="1" xfId="0" applyFont="1" applyBorder="1"/>
    <xf numFmtId="0" fontId="2" fillId="0" borderId="1" xfId="0" applyFont="1" applyFill="1" applyBorder="1"/>
    <xf numFmtId="0" fontId="2" fillId="2" borderId="3" xfId="0" applyFont="1" applyFill="1" applyBorder="1" applyAlignment="1">
      <alignment horizontal="right"/>
    </xf>
    <xf numFmtId="0" fontId="0" fillId="0" borderId="0" xfId="0" applyFill="1" applyBorder="1"/>
    <xf numFmtId="0" fontId="2" fillId="0" borderId="0" xfId="0" applyFont="1" applyBorder="1"/>
    <xf numFmtId="0" fontId="2" fillId="0" borderId="0" xfId="0" applyFont="1"/>
    <xf numFmtId="0" fontId="2" fillId="2" borderId="1" xfId="0" applyFont="1" applyFill="1" applyBorder="1"/>
    <xf numFmtId="0" fontId="0" fillId="2" borderId="1" xfId="0" applyFill="1" applyBorder="1"/>
    <xf numFmtId="0" fontId="2" fillId="0" borderId="6" xfId="0" applyFont="1" applyBorder="1"/>
    <xf numFmtId="0" fontId="2" fillId="0" borderId="0" xfId="0" applyFont="1" applyAlignment="1">
      <alignment horizontal="right"/>
    </xf>
    <xf numFmtId="164" fontId="2" fillId="0" borderId="0" xfId="0" applyNumberFormat="1" applyFont="1" applyAlignment="1">
      <alignment horizontal="right"/>
    </xf>
    <xf numFmtId="0" fontId="3" fillId="0" borderId="0" xfId="0" applyFont="1"/>
    <xf numFmtId="0" fontId="3" fillId="0" borderId="0" xfId="0" applyFont="1" applyBorder="1"/>
    <xf numFmtId="0" fontId="3" fillId="0" borderId="1" xfId="0" applyFont="1" applyBorder="1"/>
    <xf numFmtId="0" fontId="4" fillId="2" borderId="3" xfId="0" applyFont="1" applyFill="1" applyBorder="1" applyAlignment="1">
      <alignment horizontal="right"/>
    </xf>
    <xf numFmtId="0" fontId="4" fillId="2" borderId="4" xfId="0" applyFont="1" applyFill="1" applyBorder="1"/>
    <xf numFmtId="0" fontId="4" fillId="0" borderId="1" xfId="0" applyFont="1" applyBorder="1"/>
    <xf numFmtId="0" fontId="4" fillId="0" borderId="1" xfId="0" applyFont="1" applyFill="1" applyBorder="1"/>
    <xf numFmtId="0" fontId="4" fillId="0" borderId="3" xfId="0" applyFont="1" applyFill="1" applyBorder="1"/>
    <xf numFmtId="0" fontId="4" fillId="0" borderId="2" xfId="0" applyFont="1" applyFill="1" applyBorder="1"/>
    <xf numFmtId="0" fontId="3" fillId="2" borderId="3" xfId="0" applyFont="1" applyFill="1" applyBorder="1" applyAlignment="1">
      <alignment horizontal="right"/>
    </xf>
    <xf numFmtId="0" fontId="3" fillId="0" borderId="1" xfId="0" applyFont="1" applyBorder="1" applyAlignment="1">
      <alignment horizontal="right"/>
    </xf>
    <xf numFmtId="0" fontId="3" fillId="0" borderId="3" xfId="0" applyFont="1" applyBorder="1"/>
    <xf numFmtId="0" fontId="5" fillId="0" borderId="2" xfId="0" applyFont="1" applyBorder="1"/>
    <xf numFmtId="0" fontId="3" fillId="0" borderId="0" xfId="0" applyNumberFormat="1" applyFont="1"/>
    <xf numFmtId="0" fontId="3" fillId="0" borderId="1" xfId="0" applyFont="1" applyFill="1" applyBorder="1"/>
    <xf numFmtId="0" fontId="3" fillId="0" borderId="0" xfId="0" applyFont="1" applyFill="1" applyBorder="1"/>
    <xf numFmtId="0" fontId="3" fillId="0" borderId="6" xfId="0" applyFont="1" applyBorder="1"/>
    <xf numFmtId="0" fontId="4" fillId="0" borderId="1" xfId="0" applyFont="1" applyBorder="1" applyAlignment="1"/>
    <xf numFmtId="0" fontId="4" fillId="0" borderId="7" xfId="0" applyFont="1" applyBorder="1" applyAlignment="1"/>
    <xf numFmtId="0" fontId="4" fillId="0" borderId="0" xfId="0" applyFont="1" applyBorder="1" applyAlignment="1"/>
    <xf numFmtId="0" fontId="4" fillId="2" borderId="1" xfId="0" applyFont="1" applyFill="1" applyBorder="1"/>
    <xf numFmtId="0" fontId="3" fillId="2" borderId="1" xfId="0" applyFont="1" applyFill="1" applyBorder="1"/>
    <xf numFmtId="0" fontId="4" fillId="0" borderId="0" xfId="0" applyFont="1"/>
    <xf numFmtId="0" fontId="3" fillId="2" borderId="0" xfId="0" applyFont="1" applyFill="1" applyBorder="1" applyAlignment="1">
      <alignment horizontal="right"/>
    </xf>
    <xf numFmtId="0" fontId="6" fillId="0" borderId="0" xfId="0" applyFont="1" applyFill="1" applyBorder="1"/>
    <xf numFmtId="0" fontId="4" fillId="0" borderId="0" xfId="0" applyFont="1" applyFill="1" applyBorder="1"/>
    <xf numFmtId="0" fontId="3" fillId="0" borderId="0" xfId="0" applyFont="1" applyFill="1" applyBorder="1" applyAlignment="1">
      <alignment horizontal="right"/>
    </xf>
    <xf numFmtId="0" fontId="5" fillId="0" borderId="0" xfId="0" applyFont="1" applyFill="1" applyBorder="1"/>
    <xf numFmtId="0" fontId="4" fillId="2" borderId="4" xfId="0" applyFont="1" applyFill="1" applyBorder="1" applyAlignment="1">
      <alignment horizontal="left" vertical="center"/>
    </xf>
    <xf numFmtId="0" fontId="4" fillId="2" borderId="5" xfId="0" applyFont="1" applyFill="1" applyBorder="1" applyAlignment="1">
      <alignment horizontal="left" vertical="center"/>
    </xf>
    <xf numFmtId="0" fontId="0" fillId="0" borderId="0" xfId="0" applyAlignment="1">
      <alignment wrapText="1"/>
    </xf>
    <xf numFmtId="0" fontId="2" fillId="0" borderId="0" xfId="0" applyFont="1" applyFill="1" applyBorder="1"/>
    <xf numFmtId="0" fontId="2" fillId="0" borderId="0" xfId="0" applyFont="1" applyAlignment="1">
      <alignment horizontal="left"/>
    </xf>
    <xf numFmtId="0" fontId="7" fillId="0" borderId="0" xfId="0" applyFont="1"/>
    <xf numFmtId="0" fontId="0" fillId="0" borderId="0" xfId="0" applyFont="1"/>
    <xf numFmtId="0" fontId="3" fillId="0" borderId="4" xfId="0" applyFont="1" applyFill="1" applyBorder="1"/>
    <xf numFmtId="0" fontId="0" fillId="0" borderId="0" xfId="0" applyAlignment="1">
      <alignment horizontal="center" vertical="center" wrapText="1"/>
    </xf>
    <xf numFmtId="0" fontId="3" fillId="0" borderId="2" xfId="0" applyFont="1" applyBorder="1" applyAlignment="1">
      <alignment horizontal="center" vertical="center"/>
    </xf>
    <xf numFmtId="0" fontId="3" fillId="0" borderId="0" xfId="0" applyFont="1" applyBorder="1" applyAlignment="1">
      <alignment horizontal="center" vertical="center"/>
    </xf>
    <xf numFmtId="0" fontId="0" fillId="0" borderId="2" xfId="0" applyBorder="1" applyAlignment="1">
      <alignment horizontal="center" vertical="center"/>
    </xf>
    <xf numFmtId="0" fontId="0" fillId="0" borderId="0" xfId="0" applyBorder="1" applyAlignment="1">
      <alignment horizontal="center" vertical="center"/>
    </xf>
    <xf numFmtId="0" fontId="0" fillId="0" borderId="4" xfId="0" applyFill="1" applyBorder="1"/>
  </cellXfs>
  <cellStyles count="1">
    <cellStyle name="Normal" xfId="0" builtinId="0"/>
  </cellStyles>
  <dxfs count="63">
    <dxf>
      <fill>
        <patternFill patternType="lightUp">
          <fgColor theme="0" tint="-0.34998626667073579"/>
          <bgColor auto="1"/>
        </patternFill>
      </fill>
    </dxf>
    <dxf>
      <fill>
        <gradientFill degree="135">
          <stop position="0">
            <color theme="7" tint="0.59999389629810485"/>
          </stop>
          <stop position="1">
            <color theme="7" tint="-0.25098422193060094"/>
          </stop>
        </gradientFill>
      </fill>
    </dxf>
    <dxf>
      <fill>
        <gradientFill degree="225">
          <stop position="0">
            <color theme="0"/>
          </stop>
          <stop position="1">
            <color theme="0" tint="-0.25098422193060094"/>
          </stop>
        </gradientFill>
      </fill>
    </dxf>
    <dxf>
      <fill>
        <gradientFill degree="315">
          <stop position="0">
            <color rgb="FFFFFF00"/>
          </stop>
          <stop position="1">
            <color rgb="FFFFC000"/>
          </stop>
        </gradientFill>
      </fill>
    </dxf>
    <dxf>
      <font>
        <color rgb="FF9C5700"/>
      </font>
      <fill>
        <patternFill>
          <bgColor rgb="FFFFEB9C"/>
        </patternFill>
      </fill>
    </dxf>
    <dxf>
      <font>
        <color rgb="FF9C0006"/>
      </font>
      <fill>
        <patternFill>
          <bgColor rgb="FFFFC7CE"/>
        </patternFill>
      </fill>
    </dxf>
    <dxf>
      <font>
        <color theme="8" tint="-0.499984740745262"/>
      </font>
      <fill>
        <patternFill>
          <bgColor theme="8" tint="0.39994506668294322"/>
        </patternFill>
      </fill>
    </dxf>
    <dxf>
      <font>
        <color rgb="FF006100"/>
      </font>
      <fill>
        <patternFill>
          <bgColor rgb="FFC6EFCE"/>
        </patternFill>
      </fill>
    </dxf>
    <dxf>
      <font>
        <b/>
        <i val="0"/>
        <color rgb="FFFF0000"/>
      </font>
      <fill>
        <patternFill patternType="none">
          <bgColor auto="1"/>
        </patternFill>
      </fill>
    </dxf>
    <dxf>
      <font>
        <b/>
        <i val="0"/>
        <color theme="7" tint="0.39994506668294322"/>
      </font>
      <fill>
        <patternFill patternType="none">
          <bgColor auto="1"/>
        </patternFill>
      </fill>
    </dxf>
    <dxf>
      <font>
        <b/>
        <i val="0"/>
        <color rgb="FF00B050"/>
      </font>
    </dxf>
    <dxf>
      <fill>
        <patternFill patternType="lightUp">
          <fgColor theme="0" tint="-0.34998626667073579"/>
          <bgColor auto="1"/>
        </patternFill>
      </fill>
    </dxf>
    <dxf>
      <fill>
        <gradientFill degree="135">
          <stop position="0">
            <color theme="7" tint="0.59999389629810485"/>
          </stop>
          <stop position="1">
            <color theme="7" tint="-0.25098422193060094"/>
          </stop>
        </gradientFill>
      </fill>
    </dxf>
    <dxf>
      <fill>
        <gradientFill degree="225">
          <stop position="0">
            <color theme="0"/>
          </stop>
          <stop position="1">
            <color theme="0" tint="-0.25098422193060094"/>
          </stop>
        </gradientFill>
      </fill>
    </dxf>
    <dxf>
      <fill>
        <gradientFill degree="315">
          <stop position="0">
            <color rgb="FFFFFF00"/>
          </stop>
          <stop position="1">
            <color rgb="FFFFC000"/>
          </stop>
        </gradientFill>
      </fill>
    </dxf>
    <dxf>
      <fill>
        <patternFill patternType="lightUp">
          <fgColor theme="0" tint="-0.34998626667073579"/>
          <bgColor auto="1"/>
        </patternFill>
      </fill>
    </dxf>
    <dxf>
      <fill>
        <gradientFill degree="135">
          <stop position="0">
            <color theme="7" tint="0.59999389629810485"/>
          </stop>
          <stop position="1">
            <color theme="7" tint="-0.25098422193060094"/>
          </stop>
        </gradientFill>
      </fill>
    </dxf>
    <dxf>
      <fill>
        <gradientFill degree="225">
          <stop position="0">
            <color theme="0"/>
          </stop>
          <stop position="1">
            <color theme="0" tint="-0.25098422193060094"/>
          </stop>
        </gradientFill>
      </fill>
    </dxf>
    <dxf>
      <fill>
        <gradientFill degree="315">
          <stop position="0">
            <color rgb="FFFFFF00"/>
          </stop>
          <stop position="1">
            <color rgb="FFFFC000"/>
          </stop>
        </gradientFill>
      </fill>
    </dxf>
    <dxf>
      <font>
        <color rgb="FF9C5700"/>
      </font>
      <fill>
        <patternFill>
          <bgColor rgb="FFFFEB9C"/>
        </patternFill>
      </fill>
    </dxf>
    <dxf>
      <font>
        <color rgb="FF9C0006"/>
      </font>
      <fill>
        <patternFill>
          <bgColor rgb="FFFFC7CE"/>
        </patternFill>
      </fill>
    </dxf>
    <dxf>
      <fill>
        <patternFill patternType="lightUp">
          <fgColor theme="0" tint="-0.34998626667073579"/>
          <bgColor auto="1"/>
        </patternFill>
      </fill>
    </dxf>
    <dxf>
      <fill>
        <gradientFill degree="135">
          <stop position="0">
            <color theme="7" tint="0.59999389629810485"/>
          </stop>
          <stop position="1">
            <color theme="7" tint="-0.25098422193060094"/>
          </stop>
        </gradientFill>
      </fill>
    </dxf>
    <dxf>
      <fill>
        <gradientFill degree="225">
          <stop position="0">
            <color theme="0"/>
          </stop>
          <stop position="1">
            <color theme="0" tint="-0.25098422193060094"/>
          </stop>
        </gradientFill>
      </fill>
    </dxf>
    <dxf>
      <fill>
        <gradientFill degree="315">
          <stop position="0">
            <color rgb="FFFFFF00"/>
          </stop>
          <stop position="1">
            <color rgb="FFFFC000"/>
          </stop>
        </gradientFill>
      </fill>
    </dxf>
    <dxf>
      <font>
        <color rgb="FF9C0006"/>
      </font>
      <fill>
        <patternFill>
          <bgColor rgb="FFFFC7CE"/>
        </patternFill>
      </fill>
    </dxf>
    <dxf>
      <font>
        <color rgb="FF006100"/>
      </font>
      <fill>
        <patternFill>
          <bgColor rgb="FFC6EFCE"/>
        </patternFill>
      </fill>
    </dxf>
    <dxf>
      <font>
        <b/>
        <i val="0"/>
        <u val="none"/>
        <color rgb="FF0070C0"/>
      </font>
      <border>
        <vertical/>
        <horizontal/>
      </border>
    </dxf>
    <dxf>
      <font>
        <color rgb="FF9C0006"/>
      </font>
      <fill>
        <patternFill>
          <bgColor rgb="FFFFC7CE"/>
        </patternFill>
      </fill>
    </dxf>
    <dxf>
      <font>
        <color rgb="FF006100"/>
      </font>
      <fill>
        <patternFill>
          <bgColor rgb="FFC6EFCE"/>
        </patternFill>
      </fill>
    </dxf>
    <dxf>
      <fill>
        <patternFill patternType="lightUp">
          <fgColor theme="0" tint="-0.34998626667073579"/>
          <bgColor auto="1"/>
        </patternFill>
      </fill>
    </dxf>
    <dxf>
      <fill>
        <gradientFill degree="135">
          <stop position="0">
            <color theme="7" tint="0.59999389629810485"/>
          </stop>
          <stop position="1">
            <color theme="7" tint="-0.25098422193060094"/>
          </stop>
        </gradientFill>
      </fill>
    </dxf>
    <dxf>
      <fill>
        <gradientFill degree="225">
          <stop position="0">
            <color theme="0"/>
          </stop>
          <stop position="1">
            <color theme="0" tint="-0.25098422193060094"/>
          </stop>
        </gradientFill>
      </fill>
    </dxf>
    <dxf>
      <fill>
        <gradientFill degree="315">
          <stop position="0">
            <color rgb="FFFFFF00"/>
          </stop>
          <stop position="1">
            <color rgb="FFFFC000"/>
          </stop>
        </gradientFill>
      </fill>
    </dxf>
    <dxf>
      <font>
        <color rgb="FF9C5700"/>
      </font>
      <fill>
        <patternFill>
          <bgColor rgb="FFFFEB9C"/>
        </patternFill>
      </fill>
    </dxf>
    <dxf>
      <font>
        <color rgb="FF9C0006"/>
      </font>
      <fill>
        <patternFill>
          <bgColor rgb="FFFFC7CE"/>
        </patternFill>
      </fill>
    </dxf>
    <dxf>
      <fill>
        <patternFill patternType="lightUp">
          <fgColor theme="0" tint="-0.34998626667073579"/>
          <bgColor auto="1"/>
        </patternFill>
      </fill>
    </dxf>
    <dxf>
      <fill>
        <gradientFill degree="135">
          <stop position="0">
            <color theme="7" tint="0.59999389629810485"/>
          </stop>
          <stop position="1">
            <color theme="7" tint="-0.25098422193060094"/>
          </stop>
        </gradientFill>
      </fill>
    </dxf>
    <dxf>
      <fill>
        <gradientFill degree="225">
          <stop position="0">
            <color theme="0"/>
          </stop>
          <stop position="1">
            <color theme="0" tint="-0.25098422193060094"/>
          </stop>
        </gradientFill>
      </fill>
    </dxf>
    <dxf>
      <fill>
        <gradientFill degree="315">
          <stop position="0">
            <color rgb="FFFFFF00"/>
          </stop>
          <stop position="1">
            <color rgb="FFFFC000"/>
          </stop>
        </gradientFill>
      </fill>
    </dxf>
    <dxf>
      <font>
        <color rgb="FF9C5700"/>
      </font>
      <fill>
        <patternFill>
          <bgColor rgb="FFFFEB9C"/>
        </patternFill>
      </fill>
    </dxf>
    <dxf>
      <font>
        <color rgb="FF9C0006"/>
      </font>
      <fill>
        <patternFill>
          <bgColor rgb="FFFFC7CE"/>
        </patternFill>
      </fill>
    </dxf>
    <dxf>
      <font>
        <b/>
        <i val="0"/>
        <color rgb="FFFF0000"/>
      </font>
      <fill>
        <patternFill patternType="none">
          <bgColor auto="1"/>
        </patternFill>
      </fill>
    </dxf>
    <dxf>
      <font>
        <b/>
        <i val="0"/>
        <color theme="7" tint="0.39994506668294322"/>
      </font>
      <fill>
        <patternFill patternType="none">
          <bgColor auto="1"/>
        </patternFill>
      </fill>
    </dxf>
    <dxf>
      <font>
        <b/>
        <i val="0"/>
        <color rgb="FF00B050"/>
      </font>
    </dxf>
    <dxf>
      <fill>
        <patternFill patternType="lightUp">
          <fgColor theme="0" tint="-0.34998626667073579"/>
          <bgColor auto="1"/>
        </patternFill>
      </fill>
    </dxf>
    <dxf>
      <fill>
        <gradientFill degree="135">
          <stop position="0">
            <color theme="7" tint="0.59999389629810485"/>
          </stop>
          <stop position="1">
            <color theme="7" tint="-0.25098422193060094"/>
          </stop>
        </gradientFill>
      </fill>
    </dxf>
    <dxf>
      <fill>
        <gradientFill degree="225">
          <stop position="0">
            <color theme="0"/>
          </stop>
          <stop position="1">
            <color theme="0" tint="-0.25098422193060094"/>
          </stop>
        </gradientFill>
      </fill>
    </dxf>
    <dxf>
      <fill>
        <gradientFill degree="315">
          <stop position="0">
            <color rgb="FFFFFF00"/>
          </stop>
          <stop position="1">
            <color rgb="FFFFC000"/>
          </stop>
        </gradientFill>
      </fill>
    </dxf>
    <dxf>
      <font>
        <color rgb="FF9C5700"/>
      </font>
      <fill>
        <patternFill>
          <bgColor rgb="FFFFEB9C"/>
        </patternFill>
      </fill>
    </dxf>
    <dxf>
      <font>
        <color rgb="FF9C0006"/>
      </font>
      <fill>
        <patternFill>
          <bgColor rgb="FFFFC7CE"/>
        </patternFill>
      </fill>
    </dxf>
    <dxf>
      <fill>
        <patternFill patternType="lightUp">
          <fgColor theme="0" tint="-0.34998626667073579"/>
          <bgColor auto="1"/>
        </patternFill>
      </fill>
    </dxf>
    <dxf>
      <fill>
        <gradientFill degree="135">
          <stop position="0">
            <color theme="7" tint="0.59999389629810485"/>
          </stop>
          <stop position="1">
            <color theme="7" tint="-0.25098422193060094"/>
          </stop>
        </gradientFill>
      </fill>
    </dxf>
    <dxf>
      <fill>
        <gradientFill degree="225">
          <stop position="0">
            <color theme="0"/>
          </stop>
          <stop position="1">
            <color theme="0" tint="-0.25098422193060094"/>
          </stop>
        </gradientFill>
      </fill>
    </dxf>
    <dxf>
      <fill>
        <gradientFill degree="315">
          <stop position="0">
            <color rgb="FFFFFF00"/>
          </stop>
          <stop position="1">
            <color rgb="FFFFC000"/>
          </stop>
        </gradientFill>
      </fill>
    </dxf>
    <dxf>
      <font>
        <color rgb="FF9C5700"/>
      </font>
      <fill>
        <patternFill>
          <bgColor rgb="FFFFEB9C"/>
        </patternFill>
      </fill>
    </dxf>
    <dxf>
      <font>
        <color rgb="FF9C0006"/>
      </font>
      <fill>
        <patternFill>
          <bgColor rgb="FFFFC7CE"/>
        </patternFill>
      </fill>
    </dxf>
    <dxf>
      <fill>
        <patternFill patternType="lightUp">
          <fgColor theme="0" tint="-0.34998626667073579"/>
          <bgColor auto="1"/>
        </patternFill>
      </fill>
    </dxf>
    <dxf>
      <fill>
        <gradientFill degree="135">
          <stop position="0">
            <color theme="7" tint="0.59999389629810485"/>
          </stop>
          <stop position="1">
            <color theme="7" tint="-0.25098422193060094"/>
          </stop>
        </gradientFill>
      </fill>
    </dxf>
    <dxf>
      <fill>
        <gradientFill degree="225">
          <stop position="0">
            <color theme="0"/>
          </stop>
          <stop position="1">
            <color theme="0" tint="-0.25098422193060094"/>
          </stop>
        </gradientFill>
      </fill>
    </dxf>
    <dxf>
      <fill>
        <gradientFill degree="315">
          <stop position="0">
            <color rgb="FFFFFF00"/>
          </stop>
          <stop position="1">
            <color rgb="FFFFC000"/>
          </stop>
        </gradient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colors>
    <mruColors>
      <color rgb="FFF0653A"/>
      <color rgb="FF995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25</xdr:row>
          <xdr:rowOff>161925</xdr:rowOff>
        </xdr:from>
        <xdr:to>
          <xdr:col>2</xdr:col>
          <xdr:colOff>76200</xdr:colOff>
          <xdr:row>27</xdr:row>
          <xdr:rowOff>95250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Stop Music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2</xdr:row>
          <xdr:rowOff>114300</xdr:rowOff>
        </xdr:from>
        <xdr:to>
          <xdr:col>5</xdr:col>
          <xdr:colOff>866775</xdr:colOff>
          <xdr:row>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Simulate Race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5</xdr:row>
          <xdr:rowOff>133350</xdr:rowOff>
        </xdr:from>
        <xdr:to>
          <xdr:col>5</xdr:col>
          <xdr:colOff>581025</xdr:colOff>
          <xdr:row>8</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Season (Debug)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10</xdr:row>
          <xdr:rowOff>95250</xdr:rowOff>
        </xdr:from>
        <xdr:to>
          <xdr:col>5</xdr:col>
          <xdr:colOff>590550</xdr:colOff>
          <xdr:row>13</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Relegate Teams</a:t>
              </a:r>
            </a:p>
            <a:p>
              <a:pPr algn="ctr" rtl="0">
                <a:defRPr sz="1000"/>
              </a:pPr>
              <a:r>
                <a:rPr lang="en-US" sz="1100" b="0" i="0" u="none" strike="noStrike" baseline="0">
                  <a:solidFill>
                    <a:srgbClr val="000000"/>
                  </a:solidFill>
                  <a:latin typeface="Calibri"/>
                  <a:cs typeface="Calibri"/>
                </a:rPr>
                <a:t>&amp; Start New Season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28</xdr:row>
          <xdr:rowOff>76200</xdr:rowOff>
        </xdr:from>
        <xdr:to>
          <xdr:col>2</xdr:col>
          <xdr:colOff>819150</xdr:colOff>
          <xdr:row>30</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Stop Music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390525</xdr:colOff>
          <xdr:row>5</xdr:row>
          <xdr:rowOff>133350</xdr:rowOff>
        </xdr:from>
        <xdr:to>
          <xdr:col>5</xdr:col>
          <xdr:colOff>581025</xdr:colOff>
          <xdr:row>8</xdr:row>
          <xdr:rowOff>76200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Season (Debug)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W54"/>
  <sheetViews>
    <sheetView workbookViewId="0">
      <selection activeCell="A12" sqref="A12"/>
    </sheetView>
  </sheetViews>
  <sheetFormatPr defaultRowHeight="15" x14ac:dyDescent="0.25"/>
  <cols>
    <col min="2" max="2" width="17.28515625" customWidth="1"/>
    <col min="3" max="3" width="9.28515625" customWidth="1"/>
    <col min="4" max="4" width="17.7109375" customWidth="1"/>
    <col min="5" max="5" width="0" hidden="1" customWidth="1"/>
    <col min="6" max="6" width="7.7109375" customWidth="1"/>
    <col min="9" max="9" width="17.85546875" customWidth="1"/>
    <col min="18" max="19" width="8.85546875" customWidth="1"/>
    <col min="20" max="20" width="9.140625" customWidth="1"/>
    <col min="21" max="21" width="8.85546875" customWidth="1"/>
    <col min="22" max="22" width="17" customWidth="1"/>
    <col min="23" max="24" width="20.7109375" customWidth="1"/>
  </cols>
  <sheetData>
    <row r="2" spans="1:23" ht="15.75" thickBot="1" x14ac:dyDescent="0.3">
      <c r="B2" t="s">
        <v>82</v>
      </c>
      <c r="D2" t="s">
        <v>127</v>
      </c>
      <c r="I2" t="s">
        <v>82</v>
      </c>
      <c r="R2" t="s">
        <v>79</v>
      </c>
      <c r="T2" t="s">
        <v>95</v>
      </c>
      <c r="V2" t="s">
        <v>80</v>
      </c>
      <c r="W2" t="s">
        <v>81</v>
      </c>
    </row>
    <row r="3" spans="1:23" ht="15.75" thickBot="1" x14ac:dyDescent="0.3">
      <c r="A3" t="s">
        <v>78</v>
      </c>
      <c r="B3" s="19" t="s">
        <v>8</v>
      </c>
      <c r="D3" s="19" t="s">
        <v>136</v>
      </c>
      <c r="H3" t="s">
        <v>94</v>
      </c>
      <c r="I3" s="19" t="s">
        <v>27</v>
      </c>
      <c r="R3" t="s">
        <v>80</v>
      </c>
      <c r="T3" t="s">
        <v>80</v>
      </c>
      <c r="V3" t="s">
        <v>21</v>
      </c>
      <c r="W3" t="s">
        <v>85</v>
      </c>
    </row>
    <row r="4" spans="1:23" x14ac:dyDescent="0.25">
      <c r="B4" s="58" t="str">
        <f>IF(D3="Description",VLOOKUP(B3,$V$2:$W$54,2,0),CONCATENATE('Team Select &lt;WIP&gt;'!A57,1))</f>
        <v>A customer team fielding a Renault Sport RS01, the Alpine Blues team still manages to challenge the Renault Factory team for track position. Pulling in from their experience in mountainside asphalt racing, their version of the RS01 takes flowing bends superbly - and with style at the same time</v>
      </c>
      <c r="C4" s="58"/>
      <c r="D4" s="58"/>
      <c r="E4" s="58"/>
      <c r="F4" s="58"/>
      <c r="I4" s="58" t="str">
        <f>VLOOKUP(I3,$V$2:$W$54,2,0)</f>
        <v>The Agent 17 team races with a perculiar choice of car - the Aston Martin DB10, with the (thought to be) fictional engine from the James Bond movie, Spectre. They hope their one-of-a-kind vehicle can propel them to victory in fashionable style.</v>
      </c>
      <c r="J4" s="58"/>
      <c r="K4" s="58"/>
      <c r="L4" s="58"/>
      <c r="M4" s="58"/>
      <c r="R4" t="str">
        <f>WSR!I3</f>
        <v>Renault Deux</v>
      </c>
      <c r="T4" t="str">
        <f>'WSR 2'!I3</f>
        <v>VTEC Estate</v>
      </c>
      <c r="V4" t="s">
        <v>49</v>
      </c>
      <c r="W4" t="s">
        <v>93</v>
      </c>
    </row>
    <row r="5" spans="1:23" x14ac:dyDescent="0.25">
      <c r="B5" s="58"/>
      <c r="C5" s="58"/>
      <c r="D5" s="58"/>
      <c r="E5" s="58"/>
      <c r="F5" s="58"/>
      <c r="I5" s="58"/>
      <c r="J5" s="58"/>
      <c r="K5" s="58"/>
      <c r="L5" s="58"/>
      <c r="M5" s="58"/>
      <c r="R5" t="str">
        <f>WSR!I4</f>
        <v>Alpine Blues</v>
      </c>
      <c r="T5" t="str">
        <f>'WSR 2'!I4</f>
        <v>Team Slim</v>
      </c>
      <c r="V5" t="s">
        <v>51</v>
      </c>
      <c r="W5" t="s">
        <v>97</v>
      </c>
    </row>
    <row r="6" spans="1:23" x14ac:dyDescent="0.25">
      <c r="B6" s="58"/>
      <c r="C6" s="58"/>
      <c r="D6" s="58"/>
      <c r="E6" s="58"/>
      <c r="F6" s="58"/>
      <c r="I6" s="58"/>
      <c r="J6" s="58"/>
      <c r="K6" s="58"/>
      <c r="L6" s="58"/>
      <c r="M6" s="58"/>
      <c r="R6" t="str">
        <f>WSR!I5</f>
        <v>Young Racing</v>
      </c>
      <c r="T6" t="str">
        <f>'WSR 2'!I5</f>
        <v>Eliminacion</v>
      </c>
      <c r="V6" t="s">
        <v>28</v>
      </c>
      <c r="W6" t="s">
        <v>98</v>
      </c>
    </row>
    <row r="7" spans="1:23" x14ac:dyDescent="0.25">
      <c r="B7" s="58"/>
      <c r="C7" s="58"/>
      <c r="D7" s="58"/>
      <c r="E7" s="58"/>
      <c r="F7" s="58"/>
      <c r="I7" s="58"/>
      <c r="J7" s="58"/>
      <c r="K7" s="58"/>
      <c r="L7" s="58"/>
      <c r="M7" s="58"/>
      <c r="R7" t="str">
        <f>WSR!I6</f>
        <v>Prototype Aspect</v>
      </c>
      <c r="T7" t="str">
        <f>'WSR 2'!I6</f>
        <v>Milano Passion</v>
      </c>
      <c r="V7" t="s">
        <v>23</v>
      </c>
      <c r="W7" t="s">
        <v>84</v>
      </c>
    </row>
    <row r="8" spans="1:23" x14ac:dyDescent="0.25">
      <c r="B8" s="58"/>
      <c r="C8" s="58"/>
      <c r="D8" s="58"/>
      <c r="E8" s="58"/>
      <c r="F8" s="58"/>
      <c r="I8" s="58"/>
      <c r="J8" s="58"/>
      <c r="K8" s="58"/>
      <c r="L8" s="58"/>
      <c r="M8" s="58"/>
      <c r="R8" t="str">
        <f>WSR!I7</f>
        <v>Team Eternal</v>
      </c>
      <c r="T8" t="str">
        <f>'WSR 2'!I7</f>
        <v>GripZone</v>
      </c>
      <c r="V8" t="s">
        <v>52</v>
      </c>
      <c r="W8" t="s">
        <v>143</v>
      </c>
    </row>
    <row r="9" spans="1:23" x14ac:dyDescent="0.25">
      <c r="B9" s="58"/>
      <c r="C9" s="58"/>
      <c r="D9" s="58"/>
      <c r="E9" s="58"/>
      <c r="F9" s="58"/>
      <c r="I9" s="58"/>
      <c r="J9" s="58"/>
      <c r="K9" s="58"/>
      <c r="L9" s="58"/>
      <c r="M9" s="58"/>
      <c r="R9" t="str">
        <f>WSR!I8</f>
        <v>Yellow Lion</v>
      </c>
      <c r="T9" t="str">
        <f>'WSR 2'!I8</f>
        <v>Morgen Racing</v>
      </c>
      <c r="V9" t="s">
        <v>9</v>
      </c>
      <c r="W9" t="s">
        <v>99</v>
      </c>
    </row>
    <row r="10" spans="1:23" x14ac:dyDescent="0.25">
      <c r="B10" s="16" t="s">
        <v>92</v>
      </c>
      <c r="C10" s="21">
        <f>IFERROR(ROUNDUP(VLOOKUP('Team Select &lt;WIP&gt;'!$B$3,TeamData!$A$3:$L$56,3,0)/37*100,2),"N/A")</f>
        <v>0.73</v>
      </c>
      <c r="I10" s="16" t="s">
        <v>92</v>
      </c>
      <c r="J10" s="21">
        <f>IFERROR(ROUNDUP(VLOOKUP('Team Select &lt;WIP&gt;'!I3,TeamData!A3:C55,3,0)/37*100,2),"N/A")</f>
        <v>0.6</v>
      </c>
      <c r="R10" t="str">
        <f>WSR!I9</f>
        <v>Tuned Muscle</v>
      </c>
      <c r="T10" t="str">
        <f>'WSR 2'!I9</f>
        <v>Talon's Garage</v>
      </c>
      <c r="V10" t="s">
        <v>20</v>
      </c>
      <c r="W10" t="s">
        <v>106</v>
      </c>
    </row>
    <row r="11" spans="1:23" x14ac:dyDescent="0.25">
      <c r="B11" s="16" t="s">
        <v>91</v>
      </c>
      <c r="C11" s="20">
        <f>IFERROR(VLOOKUP('Team Select &lt;WIP&gt;'!B3,TeamData!A1:B54,2,0),"N/A")</f>
        <v>0.4</v>
      </c>
      <c r="I11" s="16" t="s">
        <v>91</v>
      </c>
      <c r="J11" s="20">
        <f>IFERROR(VLOOKUP('Team Select &lt;WIP&gt;'!I3,TeamData!A1:C55,2,0),"N/A")</f>
        <v>0.4</v>
      </c>
      <c r="R11" t="str">
        <f>WSR!I10</f>
        <v>Prancing Horse</v>
      </c>
      <c r="T11" t="str">
        <f>'WSR 2'!I10</f>
        <v>Mastretta B</v>
      </c>
      <c r="V11" t="s">
        <v>3</v>
      </c>
      <c r="W11" t="s">
        <v>107</v>
      </c>
    </row>
    <row r="12" spans="1:23" x14ac:dyDescent="0.25">
      <c r="B12" s="53" t="s">
        <v>129</v>
      </c>
      <c r="C12" s="16">
        <f>IFERROR(ROUNDUP(VLOOKUP('Team Select &lt;WIP&gt;'!$B$3,TeamData!$A$3:$L$56,7,0),2),"N/A")</f>
        <v>0.4</v>
      </c>
      <c r="I12" s="53" t="s">
        <v>129</v>
      </c>
      <c r="J12" s="16">
        <f>IFERROR(ROUNDUP(VLOOKUP('Team Select &lt;WIP&gt;'!$I$3,TeamData!$A$3:$L$56,7,0),2),"N/A")</f>
        <v>0.3</v>
      </c>
      <c r="R12" t="str">
        <f>WSR!I11</f>
        <v>Firenze Motorsport</v>
      </c>
      <c r="T12" t="str">
        <f>'WSR 2'!I11</f>
        <v>Team Hotwheels</v>
      </c>
      <c r="V12" t="s">
        <v>73</v>
      </c>
      <c r="W12" t="s">
        <v>100</v>
      </c>
    </row>
    <row r="13" spans="1:23" x14ac:dyDescent="0.25">
      <c r="B13" s="53" t="s">
        <v>130</v>
      </c>
      <c r="C13" s="16">
        <f>IFERROR(ROUNDUP(VLOOKUP('Team Select &lt;WIP&gt;'!$B$3,TeamData!$A$3:$L$56,6,0),2),"N/A")</f>
        <v>0.3</v>
      </c>
      <c r="I13" s="53" t="s">
        <v>130</v>
      </c>
      <c r="J13" s="16">
        <f>IFERROR(ROUNDUP(VLOOKUP('Team Select &lt;WIP&gt;'!$I$3,TeamData!$A$3:$L$56,6,0),2),"N/A")</f>
        <v>0.4</v>
      </c>
      <c r="R13" t="str">
        <f>WSR!I12</f>
        <v>Sakurai Hillclimb</v>
      </c>
      <c r="T13" t="str">
        <f>'WSR 2'!I12</f>
        <v>FullyTuned</v>
      </c>
      <c r="V13" t="s">
        <v>18</v>
      </c>
      <c r="W13" t="s">
        <v>108</v>
      </c>
    </row>
    <row r="14" spans="1:23" x14ac:dyDescent="0.25">
      <c r="B14" s="54" t="s">
        <v>132</v>
      </c>
      <c r="C14" s="16">
        <f>IFERROR(ROUNDUP(VLOOKUP('Team Select &lt;WIP&gt;'!$B$3,TeamData!$A$3:$L$56,11,0)-(VLOOKUP('Team Select &lt;WIP&gt;'!$B$3,TeamData!$A$3:$L$56,12,0)*3)+0.5,1),"N/A")</f>
        <v>0.5</v>
      </c>
      <c r="I14" s="54" t="s">
        <v>132</v>
      </c>
      <c r="J14" s="16">
        <f>IFERROR(ROUNDUP(VLOOKUP('Team Select &lt;WIP&gt;'!$I$3,TeamData!$A$3:$L$56,11,0)-(VLOOKUP('Team Select &lt;WIP&gt;'!$I$3,TeamData!$A$3:$L$56,12,0)*3)+0.5,1),"N/A")</f>
        <v>0.6</v>
      </c>
      <c r="R14" t="str">
        <f>WSR!I13</f>
        <v>Xtra Xtreme</v>
      </c>
      <c r="T14" t="str">
        <f>'WSR 2'!I13</f>
        <v>Team H.O.T</v>
      </c>
      <c r="V14" t="s">
        <v>70</v>
      </c>
      <c r="W14" t="s">
        <v>113</v>
      </c>
    </row>
    <row r="15" spans="1:23" x14ac:dyDescent="0.25">
      <c r="B15" s="53" t="s">
        <v>131</v>
      </c>
      <c r="C15" s="16">
        <f>IFERROR(ROUNDUP(VLOOKUP('Team Select &lt;WIP&gt;'!$B$3,TeamData!$A$3:$L$56,8,0),2),"N/A")</f>
        <v>0.8</v>
      </c>
      <c r="I15" s="53" t="s">
        <v>131</v>
      </c>
      <c r="J15" s="16">
        <f>IFERROR(ROUNDUP(VLOOKUP('Team Select &lt;WIP&gt;'!$I$3,TeamData!$A$3:$L$56,8,0),2),"N/A")</f>
        <v>0.2</v>
      </c>
      <c r="R15" t="str">
        <f>WSR!I14</f>
        <v>Raging Bull Racing</v>
      </c>
      <c r="T15" t="str">
        <f>'WSR 2'!I14</f>
        <v>RWD Prowess</v>
      </c>
      <c r="V15" t="s">
        <v>17</v>
      </c>
      <c r="W15" t="s">
        <v>116</v>
      </c>
    </row>
    <row r="16" spans="1:23" x14ac:dyDescent="0.25">
      <c r="B16" s="53" t="s">
        <v>133</v>
      </c>
      <c r="C16" s="16">
        <f>IFERROR(ROUNDUP((VLOOKUP('Team Select &lt;WIP&gt;'!$B$3,TeamData!$A$3:$L$56,4,0)+(VLOOKUP('Team Select &lt;WIP&gt;'!$B$3,TeamData!$A$3:$L$56,5,0)))*5,1),"N/A")</f>
        <v>0.3</v>
      </c>
      <c r="I16" s="53" t="s">
        <v>133</v>
      </c>
      <c r="J16" s="16">
        <f>IFERROR(ROUNDUP((VLOOKUP('Team Select &lt;WIP&gt;'!$I$3,TeamData!$A$3:$L$56,4,0)+(VLOOKUP('Team Select &lt;WIP&gt;'!$I$3,TeamData!$A$3:$L$56,5,0)))*5,1),"N/A")</f>
        <v>0.30000000000000004</v>
      </c>
      <c r="R16" t="str">
        <f>WSR!I15</f>
        <v>Drehkraft</v>
      </c>
      <c r="T16" t="str">
        <f>'WSR 2'!I15</f>
        <v>Rising Sun Racing</v>
      </c>
      <c r="V16" t="s">
        <v>22</v>
      </c>
      <c r="W16" t="s">
        <v>114</v>
      </c>
    </row>
    <row r="17" spans="1:23" x14ac:dyDescent="0.25">
      <c r="B17" s="53" t="s">
        <v>146</v>
      </c>
      <c r="C17" s="16">
        <f>IFERROR(ROUNDUP(((VLOOKUP('Team Select &lt;WIP&gt;'!$B$3,TeamData!$A$3:$L$56,9,0)/2)+(1-(VLOOKUP('Team Select &lt;WIP&gt;'!$B$3,TeamData!$A$3:$L$56,10,0)))/2),1),"N/A")</f>
        <v>0.6</v>
      </c>
      <c r="I17" s="53" t="s">
        <v>146</v>
      </c>
      <c r="J17" s="16">
        <f>IFERROR(ROUNDUP(((VLOOKUP('Team Select &lt;WIP&gt;'!$I$3,TeamData!$A$3:$L$56,9,0)/2)+(1-(VLOOKUP('Team Select &lt;WIP&gt;'!$I$3,TeamData!$A$3:$L$56,10,0)))/2),1),"N/A")</f>
        <v>0.5</v>
      </c>
      <c r="R17" t="str">
        <f>WSR!I16</f>
        <v>Euro Rand</v>
      </c>
      <c r="T17" t="str">
        <f>'WSR 2'!I16</f>
        <v>Datsun Enthusiast</v>
      </c>
      <c r="V17" t="s">
        <v>66</v>
      </c>
      <c r="W17" t="s">
        <v>117</v>
      </c>
    </row>
    <row r="18" spans="1:23" x14ac:dyDescent="0.25">
      <c r="B18" s="53" t="s">
        <v>134</v>
      </c>
      <c r="C18" s="21" t="s">
        <v>147</v>
      </c>
      <c r="I18" s="53" t="s">
        <v>134</v>
      </c>
      <c r="J18" s="16"/>
      <c r="R18" t="str">
        <f>WSR!I17</f>
        <v>Degenaro</v>
      </c>
      <c r="T18" t="str">
        <f>'WSR 2'!I17</f>
        <v>e.dams eteam</v>
      </c>
      <c r="V18" t="s">
        <v>4</v>
      </c>
      <c r="W18" t="s">
        <v>137</v>
      </c>
    </row>
    <row r="19" spans="1:23" x14ac:dyDescent="0.25">
      <c r="B19" s="53" t="s">
        <v>135</v>
      </c>
      <c r="C19" s="21" t="s">
        <v>147</v>
      </c>
      <c r="I19" s="53" t="s">
        <v>135</v>
      </c>
      <c r="J19" s="16"/>
      <c r="R19" t="str">
        <f>WSR!I18</f>
        <v>Agent 17</v>
      </c>
      <c r="T19" t="str">
        <f>'WSR 2'!I18</f>
        <v>Maximum Attack</v>
      </c>
      <c r="V19" t="s">
        <v>63</v>
      </c>
      <c r="W19" t="s">
        <v>138</v>
      </c>
    </row>
    <row r="20" spans="1:23" x14ac:dyDescent="0.25">
      <c r="R20" t="str">
        <f>WSR!I19</f>
        <v>Team Mastretta</v>
      </c>
      <c r="T20" t="str">
        <f>'WSR 2'!I19</f>
        <v>MOPAR Motorsport</v>
      </c>
      <c r="V20" t="s">
        <v>10</v>
      </c>
      <c r="W20" t="s">
        <v>86</v>
      </c>
    </row>
    <row r="21" spans="1:23" x14ac:dyDescent="0.25">
      <c r="R21" t="str">
        <f>WSR!I20</f>
        <v>Team McLaren</v>
      </c>
      <c r="T21" t="str">
        <f>'WSR 2'!I20</f>
        <v>DownFOURs</v>
      </c>
      <c r="V21" t="s">
        <v>12</v>
      </c>
      <c r="W21" t="s">
        <v>88</v>
      </c>
    </row>
    <row r="22" spans="1:23" x14ac:dyDescent="0.25">
      <c r="R22" t="str">
        <f>WSR!I21</f>
        <v>Ravenwest</v>
      </c>
      <c r="T22" t="str">
        <f>'WSR 2'!I21</f>
        <v>Autocross Racing</v>
      </c>
      <c r="V22" t="s">
        <v>16</v>
      </c>
      <c r="W22" t="s">
        <v>87</v>
      </c>
    </row>
    <row r="23" spans="1:23" x14ac:dyDescent="0.25">
      <c r="R23" t="str">
        <f>WSR!I22</f>
        <v>Divi-Zero</v>
      </c>
      <c r="T23" t="str">
        <f>'WSR 2'!I22</f>
        <v>HaRyumi</v>
      </c>
      <c r="V23" t="s">
        <v>62</v>
      </c>
      <c r="W23" t="s">
        <v>139</v>
      </c>
    </row>
    <row r="24" spans="1:23" x14ac:dyDescent="0.25">
      <c r="B24" t="s">
        <v>112</v>
      </c>
      <c r="R24" t="str">
        <f>WSR!I23</f>
        <v>Deutsche Schnell</v>
      </c>
      <c r="T24" t="str">
        <f>'WSR 2'!I23</f>
        <v>Venomous Sting</v>
      </c>
      <c r="V24" t="s">
        <v>14</v>
      </c>
      <c r="W24" t="s">
        <v>140</v>
      </c>
    </row>
    <row r="25" spans="1:23" x14ac:dyDescent="0.25">
      <c r="A25" t="s">
        <v>111</v>
      </c>
      <c r="B25" t="str">
        <f>WSR!AR11</f>
        <v>No</v>
      </c>
      <c r="R25" t="str">
        <f>WSR!I24</f>
        <v>Renault Factory</v>
      </c>
      <c r="T25" t="str">
        <f>'WSR 2'!I24</f>
        <v>Welsh Rally Team</v>
      </c>
      <c r="V25" t="s">
        <v>13</v>
      </c>
      <c r="W25" t="s">
        <v>141</v>
      </c>
    </row>
    <row r="26" spans="1:23" x14ac:dyDescent="0.25">
      <c r="R26" t="str">
        <f>WSR!I25</f>
        <v>EXO-Force</v>
      </c>
      <c r="T26" t="str">
        <f>'WSR 2'!I25</f>
        <v>Super Modified</v>
      </c>
      <c r="V26" t="s">
        <v>8</v>
      </c>
      <c r="W26" t="s">
        <v>142</v>
      </c>
    </row>
    <row r="27" spans="1:23" x14ac:dyDescent="0.25">
      <c r="R27" t="str">
        <f>WSR!I26</f>
        <v>White Arrow</v>
      </c>
      <c r="T27" t="str">
        <f>'WSR 2'!I26</f>
        <v>Monchengladbach</v>
      </c>
      <c r="V27" t="s">
        <v>67</v>
      </c>
    </row>
    <row r="28" spans="1:23" x14ac:dyDescent="0.25">
      <c r="R28" t="str">
        <f>WSR!I27</f>
        <v>Team Death</v>
      </c>
      <c r="T28" t="str">
        <f>'WSR 2'!I27</f>
        <v>PROJECT CAR</v>
      </c>
      <c r="V28" t="s">
        <v>60</v>
      </c>
    </row>
    <row r="29" spans="1:23" x14ac:dyDescent="0.25">
      <c r="R29" t="str">
        <f>WSR!I28</f>
        <v>High Voltage Racing</v>
      </c>
      <c r="T29" t="str">
        <f>'WSR 2'!I28</f>
        <v>Trans-America Pacers</v>
      </c>
      <c r="V29" s="3" t="s">
        <v>15</v>
      </c>
    </row>
    <row r="30" spans="1:23" x14ac:dyDescent="0.25">
      <c r="V30" s="3" t="s">
        <v>50</v>
      </c>
    </row>
    <row r="31" spans="1:23" x14ac:dyDescent="0.25">
      <c r="V31" s="3" t="s">
        <v>5</v>
      </c>
      <c r="W31" t="s">
        <v>103</v>
      </c>
    </row>
    <row r="32" spans="1:23" x14ac:dyDescent="0.25">
      <c r="V32" s="3" t="s">
        <v>69</v>
      </c>
    </row>
    <row r="33" spans="22:23" x14ac:dyDescent="0.25">
      <c r="V33" s="14" t="s">
        <v>59</v>
      </c>
    </row>
    <row r="34" spans="22:23" x14ac:dyDescent="0.25">
      <c r="V34" s="14" t="s">
        <v>58</v>
      </c>
    </row>
    <row r="35" spans="22:23" x14ac:dyDescent="0.25">
      <c r="V35" s="3" t="s">
        <v>61</v>
      </c>
    </row>
    <row r="36" spans="22:23" x14ac:dyDescent="0.25">
      <c r="V36" s="14" t="s">
        <v>55</v>
      </c>
    </row>
    <row r="37" spans="22:23" x14ac:dyDescent="0.25">
      <c r="V37" s="3" t="s">
        <v>25</v>
      </c>
    </row>
    <row r="38" spans="22:23" x14ac:dyDescent="0.25">
      <c r="V38" s="14" t="s">
        <v>7</v>
      </c>
      <c r="W38" t="s">
        <v>101</v>
      </c>
    </row>
    <row r="39" spans="22:23" x14ac:dyDescent="0.25">
      <c r="V39" s="3" t="s">
        <v>11</v>
      </c>
    </row>
    <row r="40" spans="22:23" x14ac:dyDescent="0.25">
      <c r="V40" s="14" t="s">
        <v>24</v>
      </c>
    </row>
    <row r="41" spans="22:23" x14ac:dyDescent="0.25">
      <c r="V41" s="3" t="s">
        <v>27</v>
      </c>
      <c r="W41" t="s">
        <v>83</v>
      </c>
    </row>
    <row r="42" spans="22:23" x14ac:dyDescent="0.25">
      <c r="V42" s="3" t="s">
        <v>74</v>
      </c>
    </row>
    <row r="43" spans="22:23" x14ac:dyDescent="0.25">
      <c r="V43" s="14" t="s">
        <v>68</v>
      </c>
    </row>
    <row r="44" spans="22:23" x14ac:dyDescent="0.25">
      <c r="V44" s="3" t="s">
        <v>6</v>
      </c>
      <c r="W44" t="s">
        <v>102</v>
      </c>
    </row>
    <row r="45" spans="22:23" x14ac:dyDescent="0.25">
      <c r="V45" s="3" t="s">
        <v>57</v>
      </c>
    </row>
    <row r="46" spans="22:23" x14ac:dyDescent="0.25">
      <c r="V46" s="3" t="s">
        <v>19</v>
      </c>
    </row>
    <row r="47" spans="22:23" x14ac:dyDescent="0.25">
      <c r="V47" s="3" t="s">
        <v>56</v>
      </c>
    </row>
    <row r="48" spans="22:23" x14ac:dyDescent="0.25">
      <c r="V48" s="3" t="s">
        <v>54</v>
      </c>
      <c r="W48" t="s">
        <v>148</v>
      </c>
    </row>
    <row r="49" spans="22:23" x14ac:dyDescent="0.25">
      <c r="V49" s="3" t="s">
        <v>26</v>
      </c>
    </row>
    <row r="50" spans="22:23" x14ac:dyDescent="0.25">
      <c r="V50" s="3" t="s">
        <v>64</v>
      </c>
    </row>
    <row r="51" spans="22:23" x14ac:dyDescent="0.25">
      <c r="V51" s="3" t="s">
        <v>65</v>
      </c>
    </row>
    <row r="52" spans="22:23" x14ac:dyDescent="0.25">
      <c r="V52" s="14" t="s">
        <v>72</v>
      </c>
    </row>
    <row r="53" spans="22:23" x14ac:dyDescent="0.25">
      <c r="V53" s="3" t="s">
        <v>53</v>
      </c>
    </row>
    <row r="54" spans="22:23" x14ac:dyDescent="0.25">
      <c r="V54" s="3" t="s">
        <v>71</v>
      </c>
      <c r="W54" t="s">
        <v>115</v>
      </c>
    </row>
  </sheetData>
  <mergeCells count="2">
    <mergeCell ref="B4:F9"/>
    <mergeCell ref="I4:M9"/>
  </mergeCells>
  <conditionalFormatting sqref="V29:V54">
    <cfRule type="top10" dxfId="62" priority="30" bottom="1" rank="3"/>
    <cfRule type="top10" dxfId="61" priority="31" bottom="1" rank="7"/>
  </conditionalFormatting>
  <conditionalFormatting sqref="V29:V54">
    <cfRule type="duplicateValues" dxfId="60" priority="29"/>
  </conditionalFormatting>
  <conditionalFormatting sqref="V29:V54">
    <cfRule type="duplicateValues" dxfId="59" priority="28"/>
  </conditionalFormatting>
  <conditionalFormatting sqref="V29:V54">
    <cfRule type="duplicateValues" dxfId="58" priority="27"/>
  </conditionalFormatting>
  <conditionalFormatting sqref="V29:V54">
    <cfRule type="duplicateValues" dxfId="57" priority="26"/>
  </conditionalFormatting>
  <conditionalFormatting sqref="C11">
    <cfRule type="dataBar" priority="24">
      <dataBar>
        <cfvo type="num" val="0"/>
        <cfvo type="num" val="1"/>
        <color rgb="FFFF0000"/>
      </dataBar>
      <extLst>
        <ext xmlns:x14="http://schemas.microsoft.com/office/spreadsheetml/2009/9/main" uri="{B025F937-C7B1-47D3-B67F-A62EFF666E3E}">
          <x14:id>{C066CB48-BF42-4C1F-82C3-743070595FF1}</x14:id>
        </ext>
      </extLst>
    </cfRule>
  </conditionalFormatting>
  <conditionalFormatting sqref="J11">
    <cfRule type="dataBar" priority="22">
      <dataBar>
        <cfvo type="num" val="0"/>
        <cfvo type="num" val="1"/>
        <color rgb="FFFF0000"/>
      </dataBar>
      <extLst>
        <ext xmlns:x14="http://schemas.microsoft.com/office/spreadsheetml/2009/9/main" uri="{B025F937-C7B1-47D3-B67F-A62EFF666E3E}">
          <x14:id>{D2A124AD-3CDF-44F1-847E-7E74F8FB8040}</x14:id>
        </ext>
      </extLst>
    </cfRule>
  </conditionalFormatting>
  <conditionalFormatting sqref="J10">
    <cfRule type="dataBar" priority="7">
      <dataBar>
        <cfvo type="num" val="0"/>
        <cfvo type="num" val="1"/>
        <color rgb="FF92D050"/>
      </dataBar>
      <extLst>
        <ext xmlns:x14="http://schemas.microsoft.com/office/spreadsheetml/2009/9/main" uri="{B025F937-C7B1-47D3-B67F-A62EFF666E3E}">
          <x14:id>{31F0FBD5-348D-470E-AD48-3A04CF9FB31B}</x14:id>
        </ext>
      </extLst>
    </cfRule>
  </conditionalFormatting>
  <conditionalFormatting sqref="J12">
    <cfRule type="dataBar" priority="19">
      <dataBar>
        <cfvo type="num" val="0"/>
        <cfvo type="num" val="1"/>
        <color rgb="FFFFC000"/>
      </dataBar>
      <extLst>
        <ext xmlns:x14="http://schemas.microsoft.com/office/spreadsheetml/2009/9/main" uri="{B025F937-C7B1-47D3-B67F-A62EFF666E3E}">
          <x14:id>{ED58771F-C7B3-4604-B4E3-781581D737C7}</x14:id>
        </ext>
      </extLst>
    </cfRule>
  </conditionalFormatting>
  <conditionalFormatting sqref="J13">
    <cfRule type="dataBar" priority="18">
      <dataBar>
        <cfvo type="num" val="0"/>
        <cfvo type="num" val="1"/>
        <color rgb="FFFFFF00"/>
      </dataBar>
      <extLst>
        <ext xmlns:x14="http://schemas.microsoft.com/office/spreadsheetml/2009/9/main" uri="{B025F937-C7B1-47D3-B67F-A62EFF666E3E}">
          <x14:id>{1DD991EF-F086-4F64-AEB0-79BC7D274BD7}</x14:id>
        </ext>
      </extLst>
    </cfRule>
  </conditionalFormatting>
  <conditionalFormatting sqref="J14">
    <cfRule type="dataBar" priority="17">
      <dataBar>
        <cfvo type="num" val="0"/>
        <cfvo type="num" val="1"/>
        <color rgb="FF9957D5"/>
      </dataBar>
      <extLst>
        <ext xmlns:x14="http://schemas.microsoft.com/office/spreadsheetml/2009/9/main" uri="{B025F937-C7B1-47D3-B67F-A62EFF666E3E}">
          <x14:id>{184161A8-69EF-431D-A72B-4F258FF7945E}</x14:id>
        </ext>
      </extLst>
    </cfRule>
  </conditionalFormatting>
  <conditionalFormatting sqref="J15">
    <cfRule type="dataBar" priority="16">
      <dataBar>
        <cfvo type="num" val="0"/>
        <cfvo type="num" val="1"/>
        <color theme="4" tint="-0.499984740745262"/>
      </dataBar>
      <extLst>
        <ext xmlns:x14="http://schemas.microsoft.com/office/spreadsheetml/2009/9/main" uri="{B025F937-C7B1-47D3-B67F-A62EFF666E3E}">
          <x14:id>{D9274C0E-9791-4D97-915E-49CBCBC889EE}</x14:id>
        </ext>
      </extLst>
    </cfRule>
  </conditionalFormatting>
  <conditionalFormatting sqref="J16">
    <cfRule type="dataBar" priority="15">
      <dataBar>
        <cfvo type="num" val="0"/>
        <cfvo type="num" val="1"/>
        <color theme="7" tint="-0.499984740745262"/>
      </dataBar>
      <extLst>
        <ext xmlns:x14="http://schemas.microsoft.com/office/spreadsheetml/2009/9/main" uri="{B025F937-C7B1-47D3-B67F-A62EFF666E3E}">
          <x14:id>{66CC7276-FD28-4E33-9473-33FC3AF81190}</x14:id>
        </ext>
      </extLst>
    </cfRule>
  </conditionalFormatting>
  <conditionalFormatting sqref="C12">
    <cfRule type="dataBar" priority="14">
      <dataBar>
        <cfvo type="num" val="0"/>
        <cfvo type="num" val="1"/>
        <color rgb="FFFFC000"/>
      </dataBar>
      <extLst>
        <ext xmlns:x14="http://schemas.microsoft.com/office/spreadsheetml/2009/9/main" uri="{B025F937-C7B1-47D3-B67F-A62EFF666E3E}">
          <x14:id>{B751C0AE-D085-4BB9-8D71-4F9DA5633CEF}</x14:id>
        </ext>
      </extLst>
    </cfRule>
  </conditionalFormatting>
  <conditionalFormatting sqref="C10">
    <cfRule type="dataBar" priority="8">
      <dataBar>
        <cfvo type="num" val="0"/>
        <cfvo type="num" val="1"/>
        <color rgb="FF92D050"/>
      </dataBar>
      <extLst>
        <ext xmlns:x14="http://schemas.microsoft.com/office/spreadsheetml/2009/9/main" uri="{B025F937-C7B1-47D3-B67F-A62EFF666E3E}">
          <x14:id>{D3DE518F-4859-4E1A-87A2-A11D81219840}</x14:id>
        </ext>
      </extLst>
    </cfRule>
  </conditionalFormatting>
  <conditionalFormatting sqref="C13">
    <cfRule type="dataBar" priority="6">
      <dataBar>
        <cfvo type="num" val="0"/>
        <cfvo type="num" val="1"/>
        <color rgb="FFFFFF00"/>
      </dataBar>
      <extLst>
        <ext xmlns:x14="http://schemas.microsoft.com/office/spreadsheetml/2009/9/main" uri="{B025F937-C7B1-47D3-B67F-A62EFF666E3E}">
          <x14:id>{498958D4-6A82-4BB2-A08A-C8A1F731ED2C}</x14:id>
        </ext>
      </extLst>
    </cfRule>
  </conditionalFormatting>
  <conditionalFormatting sqref="C14">
    <cfRule type="dataBar" priority="5">
      <dataBar>
        <cfvo type="num" val="0"/>
        <cfvo type="num" val="1"/>
        <color rgb="FF9957D5"/>
      </dataBar>
      <extLst>
        <ext xmlns:x14="http://schemas.microsoft.com/office/spreadsheetml/2009/9/main" uri="{B025F937-C7B1-47D3-B67F-A62EFF666E3E}">
          <x14:id>{0E25927D-0977-469F-8B62-DF9BADBB00B1}</x14:id>
        </ext>
      </extLst>
    </cfRule>
  </conditionalFormatting>
  <conditionalFormatting sqref="C15">
    <cfRule type="dataBar" priority="4">
      <dataBar>
        <cfvo type="num" val="0"/>
        <cfvo type="num" val="1"/>
        <color theme="4" tint="-0.499984740745262"/>
      </dataBar>
      <extLst>
        <ext xmlns:x14="http://schemas.microsoft.com/office/spreadsheetml/2009/9/main" uri="{B025F937-C7B1-47D3-B67F-A62EFF666E3E}">
          <x14:id>{8276965D-A301-4A30-9DB5-7DFE74F7467C}</x14:id>
        </ext>
      </extLst>
    </cfRule>
  </conditionalFormatting>
  <conditionalFormatting sqref="C16">
    <cfRule type="dataBar" priority="3">
      <dataBar>
        <cfvo type="num" val="0"/>
        <cfvo type="num" val="1"/>
        <color theme="7" tint="-0.499984740745262"/>
      </dataBar>
      <extLst>
        <ext xmlns:x14="http://schemas.microsoft.com/office/spreadsheetml/2009/9/main" uri="{B025F937-C7B1-47D3-B67F-A62EFF666E3E}">
          <x14:id>{2A199C17-0FFD-46E8-A5B2-94C2F6BE5FCF}</x14:id>
        </ext>
      </extLst>
    </cfRule>
  </conditionalFormatting>
  <conditionalFormatting sqref="J17">
    <cfRule type="dataBar" priority="2">
      <dataBar>
        <cfvo type="num" val="0"/>
        <cfvo type="num" val="1"/>
        <color rgb="FFF0653A"/>
      </dataBar>
      <extLst>
        <ext xmlns:x14="http://schemas.microsoft.com/office/spreadsheetml/2009/9/main" uri="{B025F937-C7B1-47D3-B67F-A62EFF666E3E}">
          <x14:id>{98D37867-E6D5-482A-8216-8DE3F560B90A}</x14:id>
        </ext>
      </extLst>
    </cfRule>
  </conditionalFormatting>
  <conditionalFormatting sqref="C17">
    <cfRule type="dataBar" priority="1">
      <dataBar>
        <cfvo type="num" val="0"/>
        <cfvo type="num" val="1"/>
        <color rgb="FFF0653A"/>
      </dataBar>
      <extLst>
        <ext xmlns:x14="http://schemas.microsoft.com/office/spreadsheetml/2009/9/main" uri="{B025F937-C7B1-47D3-B67F-A62EFF666E3E}">
          <x14:id>{F60F7A17-55D9-4E67-A2CD-24AD94FD9209}</x14:id>
        </ext>
      </extLst>
    </cfRule>
  </conditionalFormatting>
  <dataValidations count="4">
    <dataValidation type="list" allowBlank="1" showInputMessage="1" showErrorMessage="1" sqref="B3" xr:uid="{00000000-0002-0000-0000-000000000000}">
      <formula1>WSR_Teamlist</formula1>
    </dataValidation>
    <dataValidation type="custom" allowBlank="1" showInputMessage="1" showErrorMessage="1" sqref="R3" xr:uid="{00000000-0002-0000-0000-000001000000}">
      <formula1>WSR_Teamlist</formula1>
    </dataValidation>
    <dataValidation type="list" allowBlank="1" showInputMessage="1" showErrorMessage="1" sqref="R33 I3" xr:uid="{00000000-0002-0000-0000-000002000000}">
      <formula1>$T$3:$T$29</formula1>
    </dataValidation>
    <dataValidation type="list" allowBlank="1" showInputMessage="1" showErrorMessage="1" sqref="D3" xr:uid="{00000000-0002-0000-0000-000003000000}">
      <formula1>"Description, Advanced Stats"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StopMusic">
                <anchor moveWithCells="1" sizeWithCells="1">
                  <from>
                    <xdr:col>0</xdr:col>
                    <xdr:colOff>57150</xdr:colOff>
                    <xdr:row>25</xdr:row>
                    <xdr:rowOff>161925</xdr:rowOff>
                  </from>
                  <to>
                    <xdr:col>2</xdr:col>
                    <xdr:colOff>76200</xdr:colOff>
                    <xdr:row>27</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066CB48-BF42-4C1F-82C3-743070595FF1}">
            <x14:dataBar minLength="0" maxLength="100">
              <x14:cfvo type="num">
                <xm:f>0</xm:f>
              </x14:cfvo>
              <x14:cfvo type="num">
                <xm:f>1</xm:f>
              </x14:cfvo>
              <x14:negativeFillColor rgb="FFFF0000"/>
              <x14:axisColor rgb="FF000000"/>
            </x14:dataBar>
          </x14:cfRule>
          <xm:sqref>C11</xm:sqref>
        </x14:conditionalFormatting>
        <x14:conditionalFormatting xmlns:xm="http://schemas.microsoft.com/office/excel/2006/main">
          <x14:cfRule type="dataBar" id="{D2A124AD-3CDF-44F1-847E-7E74F8FB8040}">
            <x14:dataBar minLength="0" maxLength="10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31F0FBD5-348D-470E-AD48-3A04CF9FB31B}">
            <x14:dataBar minLength="0" maxLength="10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ED58771F-C7B3-4604-B4E3-781581D737C7}">
            <x14:dataBar minLength="0" maxLength="10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1DD991EF-F086-4F64-AEB0-79BC7D274BD7}">
            <x14:dataBar minLength="0" maxLength="10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184161A8-69EF-431D-A72B-4F258FF7945E}">
            <x14:dataBar minLength="0" maxLength="100">
              <x14:cfvo type="num">
                <xm:f>0</xm:f>
              </x14:cfvo>
              <x14:cfvo type="num">
                <xm:f>1</xm:f>
              </x14:cfvo>
              <x14:negativeFillColor rgb="FFFF0000"/>
              <x14:axisColor rgb="FF000000"/>
            </x14:dataBar>
          </x14:cfRule>
          <xm:sqref>J14</xm:sqref>
        </x14:conditionalFormatting>
        <x14:conditionalFormatting xmlns:xm="http://schemas.microsoft.com/office/excel/2006/main">
          <x14:cfRule type="dataBar" id="{D9274C0E-9791-4D97-915E-49CBCBC889EE}">
            <x14:dataBar minLength="0" maxLength="100">
              <x14:cfvo type="num">
                <xm:f>0</xm:f>
              </x14:cfvo>
              <x14:cfvo type="num">
                <xm:f>1</xm:f>
              </x14:cfvo>
              <x14:negativeFillColor rgb="FFFF0000"/>
              <x14:axisColor rgb="FF000000"/>
            </x14:dataBar>
          </x14:cfRule>
          <xm:sqref>J15</xm:sqref>
        </x14:conditionalFormatting>
        <x14:conditionalFormatting xmlns:xm="http://schemas.microsoft.com/office/excel/2006/main">
          <x14:cfRule type="dataBar" id="{66CC7276-FD28-4E33-9473-33FC3AF81190}">
            <x14:dataBar minLength="0" maxLength="100">
              <x14:cfvo type="num">
                <xm:f>0</xm:f>
              </x14:cfvo>
              <x14:cfvo type="num">
                <xm:f>1</xm:f>
              </x14:cfvo>
              <x14:negativeFillColor rgb="FFFF0000"/>
              <x14:axisColor rgb="FF000000"/>
            </x14:dataBar>
          </x14:cfRule>
          <xm:sqref>J16</xm:sqref>
        </x14:conditionalFormatting>
        <x14:conditionalFormatting xmlns:xm="http://schemas.microsoft.com/office/excel/2006/main">
          <x14:cfRule type="dataBar" id="{B751C0AE-D085-4BB9-8D71-4F9DA5633CEF}">
            <x14:dataBar minLength="0" maxLength="100">
              <x14:cfvo type="num">
                <xm:f>0</xm:f>
              </x14:cfvo>
              <x14:cfvo type="num">
                <xm:f>1</xm:f>
              </x14:cfvo>
              <x14:negativeFillColor rgb="FFFF0000"/>
              <x14:axisColor rgb="FF000000"/>
            </x14:dataBar>
          </x14:cfRule>
          <xm:sqref>C12</xm:sqref>
        </x14:conditionalFormatting>
        <x14:conditionalFormatting xmlns:xm="http://schemas.microsoft.com/office/excel/2006/main">
          <x14:cfRule type="dataBar" id="{D3DE518F-4859-4E1A-87A2-A11D81219840}">
            <x14:dataBar minLength="0" maxLength="100">
              <x14:cfvo type="num">
                <xm:f>0</xm:f>
              </x14:cfvo>
              <x14:cfvo type="num">
                <xm:f>1</xm:f>
              </x14:cfvo>
              <x14:negativeFillColor rgb="FFFF0000"/>
              <x14:axisColor rgb="FF000000"/>
            </x14:dataBar>
          </x14:cfRule>
          <xm:sqref>C10</xm:sqref>
        </x14:conditionalFormatting>
        <x14:conditionalFormatting xmlns:xm="http://schemas.microsoft.com/office/excel/2006/main">
          <x14:cfRule type="dataBar" id="{498958D4-6A82-4BB2-A08A-C8A1F731ED2C}">
            <x14:dataBar minLength="0" maxLength="100">
              <x14:cfvo type="num">
                <xm:f>0</xm:f>
              </x14:cfvo>
              <x14:cfvo type="num">
                <xm:f>1</xm:f>
              </x14:cfvo>
              <x14:negativeFillColor rgb="FFFF0000"/>
              <x14:axisColor rgb="FF000000"/>
            </x14:dataBar>
          </x14:cfRule>
          <xm:sqref>C13</xm:sqref>
        </x14:conditionalFormatting>
        <x14:conditionalFormatting xmlns:xm="http://schemas.microsoft.com/office/excel/2006/main">
          <x14:cfRule type="dataBar" id="{0E25927D-0977-469F-8B62-DF9BADBB00B1}">
            <x14:dataBar minLength="0" maxLength="100">
              <x14:cfvo type="num">
                <xm:f>0</xm:f>
              </x14:cfvo>
              <x14:cfvo type="num">
                <xm:f>1</xm:f>
              </x14:cfvo>
              <x14:negativeFillColor rgb="FFFF0000"/>
              <x14:axisColor rgb="FF000000"/>
            </x14:dataBar>
          </x14:cfRule>
          <xm:sqref>C14</xm:sqref>
        </x14:conditionalFormatting>
        <x14:conditionalFormatting xmlns:xm="http://schemas.microsoft.com/office/excel/2006/main">
          <x14:cfRule type="dataBar" id="{8276965D-A301-4A30-9DB5-7DFE74F7467C}">
            <x14:dataBar minLength="0" maxLength="100">
              <x14:cfvo type="num">
                <xm:f>0</xm:f>
              </x14:cfvo>
              <x14:cfvo type="num">
                <xm:f>1</xm:f>
              </x14:cfvo>
              <x14:negativeFillColor rgb="FFFF0000"/>
              <x14:axisColor rgb="FF000000"/>
            </x14:dataBar>
          </x14:cfRule>
          <xm:sqref>C15</xm:sqref>
        </x14:conditionalFormatting>
        <x14:conditionalFormatting xmlns:xm="http://schemas.microsoft.com/office/excel/2006/main">
          <x14:cfRule type="dataBar" id="{2A199C17-0FFD-46E8-A5B2-94C2F6BE5FCF}">
            <x14:dataBar minLength="0" maxLength="100">
              <x14:cfvo type="num">
                <xm:f>0</xm:f>
              </x14:cfvo>
              <x14:cfvo type="num">
                <xm:f>1</xm:f>
              </x14:cfvo>
              <x14:negativeFillColor rgb="FFFF0000"/>
              <x14:axisColor rgb="FF000000"/>
            </x14:dataBar>
          </x14:cfRule>
          <xm:sqref>C16</xm:sqref>
        </x14:conditionalFormatting>
        <x14:conditionalFormatting xmlns:xm="http://schemas.microsoft.com/office/excel/2006/main">
          <x14:cfRule type="dataBar" id="{98D37867-E6D5-482A-8216-8DE3F560B90A}">
            <x14:dataBar minLength="0" maxLength="100">
              <x14:cfvo type="num">
                <xm:f>0</xm:f>
              </x14:cfvo>
              <x14:cfvo type="num">
                <xm:f>1</xm:f>
              </x14:cfvo>
              <x14:negativeFillColor rgb="FFFF0000"/>
              <x14:axisColor rgb="FF000000"/>
            </x14:dataBar>
          </x14:cfRule>
          <xm:sqref>J17</xm:sqref>
        </x14:conditionalFormatting>
        <x14:conditionalFormatting xmlns:xm="http://schemas.microsoft.com/office/excel/2006/main">
          <x14:cfRule type="dataBar" id="{F60F7A17-55D9-4E67-A2CD-24AD94FD9209}">
            <x14:dataBar minLength="0" maxLength="100">
              <x14:cfvo type="num">
                <xm:f>0</xm:f>
              </x14:cfvo>
              <x14:cfvo type="num">
                <xm:f>1</xm:f>
              </x14:cfvo>
              <x14:negativeFillColor rgb="FFFF0000"/>
              <x14:axisColor rgb="FF000000"/>
            </x14:dataBar>
          </x14:cfRule>
          <xm:sqref>C17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L57"/>
  <sheetViews>
    <sheetView workbookViewId="0">
      <pane ySplit="1" topLeftCell="A17" activePane="bottomLeft" state="frozen"/>
      <selection pane="bottomLeft" activeCell="D44" sqref="D44"/>
    </sheetView>
  </sheetViews>
  <sheetFormatPr defaultRowHeight="15" x14ac:dyDescent="0.25"/>
  <cols>
    <col min="1" max="1" width="17.42578125" customWidth="1"/>
    <col min="2" max="2" width="10.42578125" customWidth="1"/>
    <col min="4" max="4" width="12.28515625" customWidth="1"/>
    <col min="5" max="5" width="12.7109375" customWidth="1"/>
    <col min="7" max="7" width="9.28515625" customWidth="1"/>
    <col min="8" max="8" width="9.5703125" customWidth="1"/>
    <col min="9" max="9" width="14.42578125" customWidth="1"/>
    <col min="10" max="10" width="11" customWidth="1"/>
  </cols>
  <sheetData>
    <row r="1" spans="1:12" x14ac:dyDescent="0.25">
      <c r="A1" t="s">
        <v>89</v>
      </c>
      <c r="B1" s="55" t="s">
        <v>90</v>
      </c>
      <c r="C1" s="55" t="s">
        <v>77</v>
      </c>
      <c r="D1" s="55" t="s">
        <v>119</v>
      </c>
      <c r="E1" s="55" t="s">
        <v>118</v>
      </c>
      <c r="F1" s="55" t="s">
        <v>120</v>
      </c>
      <c r="G1" s="55" t="s">
        <v>121</v>
      </c>
      <c r="H1" s="55" t="s">
        <v>122</v>
      </c>
      <c r="I1" s="55" t="s">
        <v>123</v>
      </c>
      <c r="J1" s="55" t="s">
        <v>124</v>
      </c>
      <c r="K1" s="55" t="s">
        <v>125</v>
      </c>
      <c r="L1" s="55" t="s">
        <v>126</v>
      </c>
    </row>
    <row r="2" spans="1:12" x14ac:dyDescent="0.25">
      <c r="D2" t="s">
        <v>144</v>
      </c>
      <c r="E2" t="s">
        <v>144</v>
      </c>
      <c r="K2" t="s">
        <v>145</v>
      </c>
    </row>
    <row r="3" spans="1:12" x14ac:dyDescent="0.25">
      <c r="A3" s="3" t="s">
        <v>27</v>
      </c>
      <c r="B3">
        <v>0.4</v>
      </c>
      <c r="C3">
        <v>0.22</v>
      </c>
      <c r="D3">
        <v>0.03</v>
      </c>
      <c r="E3">
        <v>0.02</v>
      </c>
      <c r="F3">
        <v>0.4</v>
      </c>
      <c r="G3">
        <v>0.3</v>
      </c>
      <c r="H3">
        <v>0.2</v>
      </c>
      <c r="I3">
        <v>0.1</v>
      </c>
      <c r="J3">
        <v>0.1</v>
      </c>
      <c r="K3">
        <v>0.15</v>
      </c>
      <c r="L3">
        <v>0.03</v>
      </c>
    </row>
    <row r="4" spans="1:12" x14ac:dyDescent="0.25">
      <c r="A4" t="s">
        <v>8</v>
      </c>
      <c r="B4">
        <v>0.4</v>
      </c>
      <c r="C4">
        <v>0.27</v>
      </c>
      <c r="D4">
        <v>0.04</v>
      </c>
      <c r="E4">
        <v>0.02</v>
      </c>
      <c r="F4">
        <v>0.3</v>
      </c>
      <c r="G4">
        <v>0.4</v>
      </c>
      <c r="H4">
        <v>0.8</v>
      </c>
      <c r="I4">
        <v>0.2</v>
      </c>
      <c r="J4">
        <v>0.1</v>
      </c>
      <c r="K4">
        <v>0.1</v>
      </c>
      <c r="L4">
        <v>0.05</v>
      </c>
    </row>
    <row r="5" spans="1:12" x14ac:dyDescent="0.25">
      <c r="A5" t="s">
        <v>28</v>
      </c>
      <c r="B5">
        <v>0.1</v>
      </c>
      <c r="C5">
        <v>0.15</v>
      </c>
    </row>
    <row r="6" spans="1:12" x14ac:dyDescent="0.25">
      <c r="A6" t="s">
        <v>60</v>
      </c>
      <c r="B6">
        <v>0.1</v>
      </c>
      <c r="C6">
        <v>0.1</v>
      </c>
    </row>
    <row r="7" spans="1:12" x14ac:dyDescent="0.25">
      <c r="A7" t="s">
        <v>70</v>
      </c>
      <c r="B7">
        <v>0.5</v>
      </c>
      <c r="C7">
        <v>0.13</v>
      </c>
    </row>
    <row r="8" spans="1:12" x14ac:dyDescent="0.25">
      <c r="A8" s="3" t="s">
        <v>15</v>
      </c>
      <c r="B8">
        <v>0.7</v>
      </c>
      <c r="C8">
        <v>0.35</v>
      </c>
    </row>
    <row r="9" spans="1:12" x14ac:dyDescent="0.25">
      <c r="A9" t="s">
        <v>23</v>
      </c>
      <c r="B9">
        <v>0.1</v>
      </c>
      <c r="C9">
        <v>0.25</v>
      </c>
    </row>
    <row r="10" spans="1:12" x14ac:dyDescent="0.25">
      <c r="A10" s="14" t="s">
        <v>58</v>
      </c>
      <c r="B10">
        <v>0.3</v>
      </c>
      <c r="C10">
        <v>0.05</v>
      </c>
    </row>
    <row r="11" spans="1:12" x14ac:dyDescent="0.25">
      <c r="A11" t="s">
        <v>18</v>
      </c>
      <c r="B11">
        <v>0.5</v>
      </c>
      <c r="C11">
        <v>0.1</v>
      </c>
    </row>
    <row r="12" spans="1:12" x14ac:dyDescent="0.25">
      <c r="A12" s="14" t="s">
        <v>68</v>
      </c>
      <c r="B12">
        <v>0.6</v>
      </c>
      <c r="C12">
        <v>0.09</v>
      </c>
    </row>
    <row r="13" spans="1:12" x14ac:dyDescent="0.25">
      <c r="A13" t="s">
        <v>21</v>
      </c>
      <c r="B13">
        <v>1</v>
      </c>
      <c r="C13">
        <v>0.12</v>
      </c>
      <c r="D13">
        <v>0.1</v>
      </c>
      <c r="E13">
        <v>0.1</v>
      </c>
    </row>
    <row r="14" spans="1:12" x14ac:dyDescent="0.25">
      <c r="A14" t="s">
        <v>22</v>
      </c>
      <c r="B14">
        <v>0.8</v>
      </c>
      <c r="C14">
        <v>0.23</v>
      </c>
      <c r="D14">
        <v>0.08</v>
      </c>
      <c r="E14">
        <v>0.08</v>
      </c>
    </row>
    <row r="15" spans="1:12" x14ac:dyDescent="0.25">
      <c r="A15" s="3" t="s">
        <v>5</v>
      </c>
      <c r="B15">
        <v>0.8</v>
      </c>
      <c r="C15">
        <v>0.3</v>
      </c>
    </row>
    <row r="16" spans="1:12" x14ac:dyDescent="0.25">
      <c r="A16" t="s">
        <v>9</v>
      </c>
      <c r="B16">
        <v>0.3</v>
      </c>
      <c r="C16">
        <v>0.11</v>
      </c>
    </row>
    <row r="17" spans="1:12" x14ac:dyDescent="0.25">
      <c r="A17" s="3" t="s">
        <v>57</v>
      </c>
      <c r="B17">
        <v>0.4</v>
      </c>
      <c r="C17">
        <v>0.06</v>
      </c>
    </row>
    <row r="18" spans="1:12" x14ac:dyDescent="0.25">
      <c r="A18" s="3" t="s">
        <v>25</v>
      </c>
      <c r="B18">
        <v>0.1</v>
      </c>
      <c r="C18">
        <v>0.05</v>
      </c>
    </row>
    <row r="19" spans="1:12" x14ac:dyDescent="0.25">
      <c r="A19" t="s">
        <v>49</v>
      </c>
      <c r="B19">
        <v>0.6</v>
      </c>
      <c r="C19">
        <v>0.11</v>
      </c>
    </row>
    <row r="20" spans="1:12" x14ac:dyDescent="0.25">
      <c r="A20" s="3" t="s">
        <v>69</v>
      </c>
      <c r="B20">
        <v>0.5</v>
      </c>
      <c r="C20">
        <v>0.14000000000000001</v>
      </c>
    </row>
    <row r="21" spans="1:12" x14ac:dyDescent="0.25">
      <c r="A21" t="s">
        <v>73</v>
      </c>
      <c r="B21">
        <v>0.3</v>
      </c>
      <c r="C21">
        <v>0.15</v>
      </c>
    </row>
    <row r="22" spans="1:12" x14ac:dyDescent="0.25">
      <c r="A22" s="14" t="s">
        <v>72</v>
      </c>
      <c r="B22">
        <v>0.7</v>
      </c>
      <c r="C22">
        <v>0.02</v>
      </c>
    </row>
    <row r="23" spans="1:12" x14ac:dyDescent="0.25">
      <c r="A23" s="14" t="s">
        <v>24</v>
      </c>
      <c r="B23">
        <v>0.7</v>
      </c>
      <c r="C23">
        <v>0.2</v>
      </c>
    </row>
    <row r="24" spans="1:12" x14ac:dyDescent="0.25">
      <c r="A24" s="3" t="s">
        <v>11</v>
      </c>
      <c r="B24">
        <v>0.4</v>
      </c>
      <c r="C24">
        <v>0.14000000000000001</v>
      </c>
    </row>
    <row r="25" spans="1:12" x14ac:dyDescent="0.25">
      <c r="A25" t="s">
        <v>51</v>
      </c>
      <c r="B25">
        <v>0.5</v>
      </c>
      <c r="C25">
        <v>0.09</v>
      </c>
    </row>
    <row r="26" spans="1:12" x14ac:dyDescent="0.25">
      <c r="A26" t="s">
        <v>20</v>
      </c>
      <c r="B26">
        <v>0.3</v>
      </c>
      <c r="C26">
        <v>0.16</v>
      </c>
    </row>
    <row r="27" spans="1:12" x14ac:dyDescent="0.25">
      <c r="A27" s="3" t="s">
        <v>50</v>
      </c>
      <c r="B27">
        <v>0.3</v>
      </c>
      <c r="C27">
        <v>0.15</v>
      </c>
    </row>
    <row r="28" spans="1:12" x14ac:dyDescent="0.25">
      <c r="A28" s="3" t="s">
        <v>26</v>
      </c>
      <c r="B28">
        <v>0.4</v>
      </c>
      <c r="C28">
        <v>0.13</v>
      </c>
    </row>
    <row r="29" spans="1:12" x14ac:dyDescent="0.25">
      <c r="A29" t="s">
        <v>17</v>
      </c>
      <c r="B29">
        <v>0.6</v>
      </c>
      <c r="C29">
        <v>0.18</v>
      </c>
    </row>
    <row r="30" spans="1:12" x14ac:dyDescent="0.25">
      <c r="A30" s="3" t="s">
        <v>64</v>
      </c>
      <c r="B30">
        <v>0.7</v>
      </c>
      <c r="C30">
        <v>0.2</v>
      </c>
    </row>
    <row r="31" spans="1:12" x14ac:dyDescent="0.25">
      <c r="A31" s="3" t="s">
        <v>54</v>
      </c>
      <c r="B31">
        <v>0.8</v>
      </c>
      <c r="C31">
        <v>0.35</v>
      </c>
      <c r="D31">
        <v>0.04</v>
      </c>
      <c r="E31">
        <v>0.04</v>
      </c>
      <c r="F31">
        <v>0.8</v>
      </c>
      <c r="G31">
        <v>0.8</v>
      </c>
      <c r="H31">
        <v>0.7</v>
      </c>
      <c r="I31">
        <v>0.5</v>
      </c>
      <c r="J31">
        <v>0.1</v>
      </c>
      <c r="K31">
        <v>0.2</v>
      </c>
      <c r="L31">
        <v>0.05</v>
      </c>
    </row>
    <row r="32" spans="1:12" x14ac:dyDescent="0.25">
      <c r="A32" s="14" t="s">
        <v>7</v>
      </c>
      <c r="B32">
        <v>0.6</v>
      </c>
      <c r="C32">
        <v>0.28999999999999998</v>
      </c>
    </row>
    <row r="33" spans="1:12" x14ac:dyDescent="0.25">
      <c r="A33" s="3" t="s">
        <v>6</v>
      </c>
      <c r="B33">
        <v>0.7</v>
      </c>
      <c r="C33">
        <v>0.34499999999999997</v>
      </c>
      <c r="D33">
        <v>0.02</v>
      </c>
      <c r="E33">
        <v>0.02</v>
      </c>
      <c r="F33">
        <v>0.7</v>
      </c>
      <c r="G33">
        <v>0.7</v>
      </c>
      <c r="H33">
        <v>0.5</v>
      </c>
      <c r="I33">
        <v>0.4</v>
      </c>
      <c r="J33">
        <v>0.1</v>
      </c>
      <c r="K33">
        <v>0.22</v>
      </c>
      <c r="L33">
        <v>0.04</v>
      </c>
    </row>
    <row r="34" spans="1:12" x14ac:dyDescent="0.25">
      <c r="A34" s="3" t="s">
        <v>74</v>
      </c>
      <c r="B34">
        <v>0.7</v>
      </c>
      <c r="C34">
        <v>0.08</v>
      </c>
    </row>
    <row r="35" spans="1:12" x14ac:dyDescent="0.25">
      <c r="A35" t="s">
        <v>67</v>
      </c>
      <c r="B35">
        <v>0.3</v>
      </c>
      <c r="C35">
        <v>0.03</v>
      </c>
    </row>
    <row r="36" spans="1:12" x14ac:dyDescent="0.25">
      <c r="A36" t="s">
        <v>10</v>
      </c>
      <c r="B36">
        <v>0.6</v>
      </c>
      <c r="C36">
        <v>0.35499999999999998</v>
      </c>
      <c r="D36">
        <v>0.01</v>
      </c>
      <c r="E36">
        <v>0.01</v>
      </c>
      <c r="F36">
        <v>0.7</v>
      </c>
      <c r="G36">
        <v>0.8</v>
      </c>
      <c r="H36">
        <v>0.6</v>
      </c>
      <c r="I36">
        <v>0.5</v>
      </c>
      <c r="J36">
        <v>0.1</v>
      </c>
      <c r="K36">
        <v>0.2</v>
      </c>
      <c r="L36">
        <v>0.08</v>
      </c>
    </row>
    <row r="37" spans="1:12" x14ac:dyDescent="0.25">
      <c r="A37" t="s">
        <v>14</v>
      </c>
      <c r="B37">
        <v>0.1</v>
      </c>
      <c r="C37">
        <v>0.05</v>
      </c>
    </row>
    <row r="38" spans="1:12" x14ac:dyDescent="0.25">
      <c r="A38" s="3" t="s">
        <v>56</v>
      </c>
      <c r="B38">
        <v>0.2</v>
      </c>
      <c r="C38">
        <v>0.13</v>
      </c>
    </row>
    <row r="39" spans="1:12" x14ac:dyDescent="0.25">
      <c r="A39" t="s">
        <v>52</v>
      </c>
      <c r="B39">
        <v>0.7</v>
      </c>
      <c r="C39">
        <v>0.15</v>
      </c>
    </row>
    <row r="40" spans="1:12" x14ac:dyDescent="0.25">
      <c r="A40" t="s">
        <v>4</v>
      </c>
      <c r="B40">
        <v>0.7</v>
      </c>
      <c r="C40">
        <v>0.28000000000000003</v>
      </c>
    </row>
    <row r="41" spans="1:12" x14ac:dyDescent="0.25">
      <c r="A41" s="3" t="s">
        <v>53</v>
      </c>
      <c r="B41">
        <v>0.6</v>
      </c>
      <c r="C41">
        <v>0.17</v>
      </c>
    </row>
    <row r="42" spans="1:12" x14ac:dyDescent="0.25">
      <c r="A42" s="3" t="s">
        <v>19</v>
      </c>
      <c r="B42">
        <v>0.6</v>
      </c>
      <c r="C42">
        <v>0.14000000000000001</v>
      </c>
    </row>
    <row r="43" spans="1:12" x14ac:dyDescent="0.25">
      <c r="A43" t="s">
        <v>63</v>
      </c>
      <c r="B43">
        <v>0.4</v>
      </c>
      <c r="C43">
        <v>0.28499999999999998</v>
      </c>
    </row>
    <row r="44" spans="1:12" x14ac:dyDescent="0.25">
      <c r="A44" t="s">
        <v>12</v>
      </c>
      <c r="B44">
        <v>0.5</v>
      </c>
      <c r="C44">
        <v>0.37</v>
      </c>
    </row>
    <row r="45" spans="1:12" x14ac:dyDescent="0.25">
      <c r="A45" s="3" t="s">
        <v>65</v>
      </c>
      <c r="B45">
        <v>0.3</v>
      </c>
      <c r="C45">
        <v>0.13</v>
      </c>
    </row>
    <row r="46" spans="1:12" x14ac:dyDescent="0.25">
      <c r="A46" s="14" t="s">
        <v>55</v>
      </c>
      <c r="B46">
        <v>0.2</v>
      </c>
      <c r="C46">
        <v>0.08</v>
      </c>
    </row>
    <row r="47" spans="1:12" x14ac:dyDescent="0.25">
      <c r="A47" s="14" t="s">
        <v>59</v>
      </c>
      <c r="B47">
        <v>0.4</v>
      </c>
      <c r="C47">
        <v>0.26</v>
      </c>
    </row>
    <row r="48" spans="1:12" x14ac:dyDescent="0.25">
      <c r="A48" s="3" t="s">
        <v>61</v>
      </c>
      <c r="B48">
        <v>0.6</v>
      </c>
      <c r="C48">
        <v>0.1</v>
      </c>
    </row>
    <row r="49" spans="1:10" x14ac:dyDescent="0.25">
      <c r="A49" s="3" t="s">
        <v>71</v>
      </c>
      <c r="B49">
        <v>0.8</v>
      </c>
      <c r="C49">
        <v>0.14000000000000001</v>
      </c>
    </row>
    <row r="50" spans="1:10" x14ac:dyDescent="0.25">
      <c r="A50" t="s">
        <v>62</v>
      </c>
      <c r="B50">
        <v>0.2</v>
      </c>
      <c r="C50">
        <v>0.13</v>
      </c>
    </row>
    <row r="51" spans="1:10" x14ac:dyDescent="0.25">
      <c r="A51" t="s">
        <v>13</v>
      </c>
      <c r="B51">
        <v>0.5</v>
      </c>
      <c r="C51">
        <v>0.33</v>
      </c>
    </row>
    <row r="52" spans="1:10" x14ac:dyDescent="0.25">
      <c r="A52" t="s">
        <v>16</v>
      </c>
      <c r="B52">
        <v>0.7</v>
      </c>
      <c r="C52">
        <v>0.35</v>
      </c>
    </row>
    <row r="53" spans="1:10" x14ac:dyDescent="0.25">
      <c r="A53" t="s">
        <v>66</v>
      </c>
      <c r="B53">
        <v>0.2</v>
      </c>
      <c r="C53">
        <v>0.17</v>
      </c>
    </row>
    <row r="54" spans="1:10" x14ac:dyDescent="0.25">
      <c r="A54" t="s">
        <v>3</v>
      </c>
      <c r="B54">
        <v>0.4</v>
      </c>
      <c r="C54">
        <v>0.23</v>
      </c>
    </row>
    <row r="55" spans="1:10" x14ac:dyDescent="0.25">
      <c r="A55" t="s">
        <v>80</v>
      </c>
      <c r="B55" t="s">
        <v>96</v>
      </c>
      <c r="C55" t="s">
        <v>96</v>
      </c>
    </row>
    <row r="57" spans="1:10" ht="120" x14ac:dyDescent="0.25">
      <c r="A57" s="52" t="s">
        <v>128</v>
      </c>
      <c r="J57" s="52"/>
    </row>
  </sheetData>
  <sortState xmlns:xlrd2="http://schemas.microsoft.com/office/spreadsheetml/2017/richdata2" ref="A3:B54">
    <sortCondition ref="A3"/>
  </sortState>
  <conditionalFormatting sqref="A29:A55">
    <cfRule type="top10" dxfId="56" priority="5" bottom="1" rank="3"/>
    <cfRule type="top10" dxfId="55" priority="6" bottom="1" rank="7"/>
  </conditionalFormatting>
  <conditionalFormatting sqref="A29:A55">
    <cfRule type="duplicateValues" dxfId="54" priority="4"/>
  </conditionalFormatting>
  <conditionalFormatting sqref="A29:A55">
    <cfRule type="duplicateValues" dxfId="53" priority="3"/>
  </conditionalFormatting>
  <conditionalFormatting sqref="A29:A55">
    <cfRule type="duplicateValues" dxfId="52" priority="2"/>
  </conditionalFormatting>
  <conditionalFormatting sqref="A29:A55">
    <cfRule type="duplicateValues" dxfId="5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R54"/>
  <sheetViews>
    <sheetView tabSelected="1" zoomScale="92" workbookViewId="0">
      <selection activeCell="M11" sqref="M11"/>
    </sheetView>
  </sheetViews>
  <sheetFormatPr defaultColWidth="8.85546875" defaultRowHeight="15" x14ac:dyDescent="0.25"/>
  <cols>
    <col min="1" max="1" width="8.85546875" style="22"/>
    <col min="2" max="2" width="7.28515625" style="22" customWidth="1"/>
    <col min="3" max="3" width="25.28515625" style="22" customWidth="1"/>
    <col min="4" max="4" width="8.85546875" style="22"/>
    <col min="5" max="5" width="16.7109375" style="22" customWidth="1"/>
    <col min="6" max="6" width="14" style="22" customWidth="1"/>
    <col min="7" max="7" width="6.7109375" style="22" customWidth="1"/>
    <col min="8" max="8" width="4" style="22" customWidth="1"/>
    <col min="9" max="9" width="18.85546875" style="22" customWidth="1"/>
    <col min="10" max="10" width="6.28515625" style="22" customWidth="1"/>
    <col min="11" max="11" width="8.85546875" style="22" customWidth="1"/>
    <col min="12" max="12" width="5.28515625" style="22" customWidth="1"/>
    <col min="13" max="13" width="8.28515625" style="22" customWidth="1"/>
    <col min="14" max="14" width="5.7109375" style="22" customWidth="1"/>
    <col min="15" max="15" width="16.28515625" style="22" bestFit="1" customWidth="1"/>
    <col min="16" max="16" width="8.85546875" style="22" hidden="1" customWidth="1"/>
    <col min="17" max="41" width="8.42578125" style="22" hidden="1" customWidth="1"/>
    <col min="42" max="42" width="18" style="22" hidden="1" customWidth="1"/>
    <col min="43" max="43" width="8.85546875" style="22" hidden="1" customWidth="1"/>
    <col min="44" max="44" width="8.85546875" style="22" customWidth="1"/>
    <col min="45" max="45" width="8.7109375" style="22" customWidth="1"/>
    <col min="46" max="16384" width="8.85546875" style="22"/>
  </cols>
  <sheetData>
    <row r="1" spans="1:44" x14ac:dyDescent="0.25">
      <c r="A1" s="22">
        <v>1</v>
      </c>
      <c r="C1" s="22" t="s">
        <v>39</v>
      </c>
      <c r="I1" s="22" t="s">
        <v>40</v>
      </c>
      <c r="L1" s="23"/>
      <c r="M1" s="23"/>
      <c r="P1" s="56" t="s">
        <v>109</v>
      </c>
    </row>
    <row r="2" spans="1:44" x14ac:dyDescent="0.25">
      <c r="B2" s="24" t="s">
        <v>0</v>
      </c>
      <c r="C2" s="24" t="s">
        <v>1</v>
      </c>
      <c r="D2" s="24" t="s">
        <v>2</v>
      </c>
      <c r="G2" s="25" t="s">
        <v>43</v>
      </c>
      <c r="H2" s="26" t="s">
        <v>42</v>
      </c>
      <c r="I2" s="27" t="s">
        <v>1</v>
      </c>
      <c r="J2" s="27" t="s">
        <v>2</v>
      </c>
      <c r="K2" s="28" t="s">
        <v>44</v>
      </c>
      <c r="L2" s="28" t="s">
        <v>35</v>
      </c>
      <c r="M2" s="29" t="s">
        <v>37</v>
      </c>
      <c r="N2" s="30" t="s">
        <v>77</v>
      </c>
      <c r="T2" s="22" t="s">
        <v>30</v>
      </c>
      <c r="U2" s="22" t="s">
        <v>29</v>
      </c>
      <c r="V2" s="22" t="s">
        <v>31</v>
      </c>
      <c r="W2" s="22" t="s">
        <v>32</v>
      </c>
      <c r="X2" s="22" t="s">
        <v>33</v>
      </c>
      <c r="Y2" s="22" t="s">
        <v>34</v>
      </c>
      <c r="Z2" s="22" t="s">
        <v>36</v>
      </c>
      <c r="AA2" s="22" t="s">
        <v>37</v>
      </c>
      <c r="AB2" s="22" t="s">
        <v>38</v>
      </c>
      <c r="AE2" s="22" t="s">
        <v>48</v>
      </c>
      <c r="AH2" s="22" t="s">
        <v>47</v>
      </c>
      <c r="AI2" s="22" t="s">
        <v>46</v>
      </c>
      <c r="AJ2" s="22" t="s">
        <v>45</v>
      </c>
    </row>
    <row r="3" spans="1:44" x14ac:dyDescent="0.25">
      <c r="B3" s="27">
        <v>1</v>
      </c>
      <c r="C3" s="24" t="s">
        <v>7</v>
      </c>
      <c r="D3" s="24">
        <v>50</v>
      </c>
      <c r="G3" s="31">
        <f>IF(SUM($L$3:$L$28)=1,0,VLOOKUP(I3,$AF$3:$AJ$28,5,0))</f>
        <v>0</v>
      </c>
      <c r="H3" s="50">
        <v>1</v>
      </c>
      <c r="I3" s="57" t="s">
        <v>7</v>
      </c>
      <c r="J3" s="28">
        <f>VLOOKUP(I3,$S$2:$U$54,3,0)</f>
        <v>50</v>
      </c>
      <c r="K3" s="32" t="str">
        <f>CONCATENATE(INDEX($B$3:$C$28,MATCH(I3,$C$3:$C$28,0),1),IF(INDEX($B$3:$C$28,MATCH(I3,$C$3:$C$28,0),1)=1,"st",IF(INDEX($B$3:$C$28,MATCH(I3,$C$3:$C$28,0),1)=2,"nd",IF(INDEX($B$3:$C$28,MATCH(I3,$C$3:$C$28,0),1)=3,"rd","th"))))</f>
        <v>1st</v>
      </c>
      <c r="L3" s="24">
        <f>VLOOKUP(I3,$S$3:$Y$54,6,0)</f>
        <v>1</v>
      </c>
      <c r="M3" s="33">
        <f>VLOOKUP(I3,$S$3:$AB$54,9,0)</f>
        <v>1</v>
      </c>
      <c r="N3" s="34">
        <f>VLOOKUP(I3,$AP$3:$AQ$54,2,0)</f>
        <v>0.28999999999999998</v>
      </c>
      <c r="O3" s="11" t="s">
        <v>75</v>
      </c>
      <c r="P3" s="23"/>
      <c r="Q3" s="22">
        <v>1.2284313244853788</v>
      </c>
      <c r="R3" s="22" t="s">
        <v>7</v>
      </c>
      <c r="S3" s="22" t="s">
        <v>21</v>
      </c>
      <c r="T3" s="22" t="e">
        <f>VLOOKUP(S3,$C$3:$D$28,2,0)</f>
        <v>#N/A</v>
      </c>
      <c r="U3" s="22" t="e">
        <v>#N/A</v>
      </c>
      <c r="V3" s="22" t="e">
        <f>U3+T3</f>
        <v>#N/A</v>
      </c>
      <c r="W3" s="22" t="e">
        <f>IF(VLOOKUP(S3,$C$3:$D$28,2,0)=50,1,0)</f>
        <v>#N/A</v>
      </c>
      <c r="X3" s="22" t="e">
        <v>#N/A</v>
      </c>
      <c r="Y3" s="22" t="e">
        <f>X3+W3</f>
        <v>#N/A</v>
      </c>
      <c r="Z3" s="22" t="e">
        <f>IF(VLOOKUP(S3,$C$3:$D$28,2,0)&gt;31,1,0)</f>
        <v>#N/A</v>
      </c>
      <c r="AA3" s="22" t="e">
        <v>#N/A</v>
      </c>
      <c r="AB3" s="22" t="e">
        <f>Z3+AA3</f>
        <v>#N/A</v>
      </c>
      <c r="AE3" s="22">
        <v>1</v>
      </c>
      <c r="AF3" s="22" t="s">
        <v>16</v>
      </c>
      <c r="AH3" s="22">
        <f>INDEX($H$3:$I$28,MATCH(AF3,$I$3:$I$28,0),1)</f>
        <v>11</v>
      </c>
      <c r="AI3" s="22">
        <f>-(AH3-AE3)</f>
        <v>-10</v>
      </c>
      <c r="AJ3" s="35">
        <v>-10</v>
      </c>
      <c r="AL3" s="22">
        <v>1.096982135238457</v>
      </c>
      <c r="AM3" s="22" t="s">
        <v>52</v>
      </c>
      <c r="AP3" s="23" t="s">
        <v>27</v>
      </c>
      <c r="AQ3" s="22">
        <v>0.22</v>
      </c>
    </row>
    <row r="4" spans="1:44" x14ac:dyDescent="0.25">
      <c r="B4" s="27">
        <v>2</v>
      </c>
      <c r="C4" s="24" t="s">
        <v>8</v>
      </c>
      <c r="D4" s="24">
        <v>43</v>
      </c>
      <c r="G4" s="31">
        <f t="shared" ref="G4:G21" si="0">IF(SUM($L$3:$L$28)=1,0,VLOOKUP(I4,$AF$3:$AJ$28,5,0))</f>
        <v>0</v>
      </c>
      <c r="H4" s="51">
        <v>2</v>
      </c>
      <c r="I4" s="24" t="s">
        <v>8</v>
      </c>
      <c r="J4" s="28">
        <f>VLOOKUP(I4,$S$2:$U$54,3,0)</f>
        <v>43</v>
      </c>
      <c r="K4" s="32" t="str">
        <f t="shared" ref="K4:K20" si="1">CONCATENATE(INDEX($B$3:$C$28,MATCH(I4,$C$3:$C$28,0),1),IF(INDEX($B$3:$C$28,MATCH(I4,$C$3:$C$28,0),1)=1,"st",IF(INDEX($B$3:$C$28,MATCH(I4,$C$3:$C$28,0),1)=2,"nd",IF(INDEX($B$3:$C$28,MATCH(I4,$C$3:$C$28,0),1)=3,"rd","th"))))</f>
        <v>2nd</v>
      </c>
      <c r="L4" s="24">
        <f t="shared" ref="L4:L28" si="2">VLOOKUP(I4,$S$3:$Y$54,6,0)</f>
        <v>0</v>
      </c>
      <c r="M4" s="33">
        <f t="shared" ref="M4:M28" si="3">VLOOKUP(I4,$S$3:$AB$54,9,0)</f>
        <v>1</v>
      </c>
      <c r="N4" s="34">
        <f>VLOOKUP(I4,$AP$3:$AQ$54,2,0)</f>
        <v>0.27</v>
      </c>
      <c r="O4" s="24" t="s">
        <v>53</v>
      </c>
      <c r="P4" s="23"/>
      <c r="Q4" s="22">
        <v>1.216633689580775</v>
      </c>
      <c r="R4" s="22" t="s">
        <v>8</v>
      </c>
      <c r="S4" s="22" t="s">
        <v>49</v>
      </c>
      <c r="T4" s="22" t="e">
        <f t="shared" ref="T4:T54" si="4">VLOOKUP(S4,$C$3:$D$28,2,0)</f>
        <v>#N/A</v>
      </c>
      <c r="U4" s="22" t="e">
        <v>#N/A</v>
      </c>
      <c r="V4" s="22" t="e">
        <f t="shared" ref="V4:V54" si="5">U4+T4</f>
        <v>#N/A</v>
      </c>
      <c r="W4" s="22" t="e">
        <f t="shared" ref="W4:W54" si="6">IF(VLOOKUP(S4,$C$3:$D$28,2,0)=50,1,0)</f>
        <v>#N/A</v>
      </c>
      <c r="X4" s="22" t="e">
        <v>#N/A</v>
      </c>
      <c r="Y4" s="22" t="e">
        <f t="shared" ref="Y4:Y54" si="7">X4+W4</f>
        <v>#N/A</v>
      </c>
      <c r="Z4" s="22" t="e">
        <f t="shared" ref="Z4:Z54" si="8">IF(VLOOKUP(S4,$C$3:$D$28,2,0)&gt;31,1,0)</f>
        <v>#N/A</v>
      </c>
      <c r="AA4" s="22" t="e">
        <v>#N/A</v>
      </c>
      <c r="AB4" s="22" t="e">
        <f t="shared" ref="AB4:AB54" si="9">Z4+AA4</f>
        <v>#N/A</v>
      </c>
      <c r="AE4" s="22">
        <v>2</v>
      </c>
      <c r="AF4" s="22" t="s">
        <v>63</v>
      </c>
      <c r="AH4" s="22">
        <f t="shared" ref="AH4:AH28" si="10">INDEX($H$3:$I$28,MATCH(AF4,$I$3:$I$28,0),1)</f>
        <v>17</v>
      </c>
      <c r="AI4" s="22">
        <f t="shared" ref="AI4:AI28" si="11">-(AH4-AE4)</f>
        <v>-15</v>
      </c>
      <c r="AJ4" s="35">
        <v>-15</v>
      </c>
      <c r="AL4" s="22">
        <v>1.0538683522735139</v>
      </c>
      <c r="AM4" s="22" t="s">
        <v>50</v>
      </c>
      <c r="AP4" s="22" t="s">
        <v>8</v>
      </c>
      <c r="AQ4" s="22">
        <v>0.27</v>
      </c>
    </row>
    <row r="5" spans="1:44" x14ac:dyDescent="0.25">
      <c r="B5" s="27">
        <v>3</v>
      </c>
      <c r="C5" s="24" t="s">
        <v>3</v>
      </c>
      <c r="D5" s="24">
        <v>36</v>
      </c>
      <c r="G5" s="31">
        <f t="shared" si="0"/>
        <v>0</v>
      </c>
      <c r="H5" s="50">
        <v>3</v>
      </c>
      <c r="I5" s="24" t="s">
        <v>3</v>
      </c>
      <c r="J5" s="28">
        <f>VLOOKUP(I5,$S$2:$U$54,3,0)</f>
        <v>36</v>
      </c>
      <c r="K5" s="32" t="str">
        <f t="shared" si="1"/>
        <v>3rd</v>
      </c>
      <c r="L5" s="24">
        <f t="shared" si="2"/>
        <v>0</v>
      </c>
      <c r="M5" s="33">
        <f t="shared" si="3"/>
        <v>1</v>
      </c>
      <c r="N5" s="34">
        <f t="shared" ref="N5:N28" si="12">VLOOKUP(I5,$AP$3:$AQ$54,2,0)</f>
        <v>0.23</v>
      </c>
      <c r="O5" s="24" t="s">
        <v>24</v>
      </c>
      <c r="P5" s="23"/>
      <c r="Q5" s="22">
        <v>1.1269886955701314</v>
      </c>
      <c r="R5" s="22" t="s">
        <v>3</v>
      </c>
      <c r="S5" s="22" t="s">
        <v>51</v>
      </c>
      <c r="T5" s="22" t="e">
        <f t="shared" si="4"/>
        <v>#N/A</v>
      </c>
      <c r="U5" s="22" t="e">
        <v>#N/A</v>
      </c>
      <c r="V5" s="22" t="e">
        <f t="shared" si="5"/>
        <v>#N/A</v>
      </c>
      <c r="W5" s="22" t="e">
        <f t="shared" si="6"/>
        <v>#N/A</v>
      </c>
      <c r="X5" s="22" t="e">
        <v>#N/A</v>
      </c>
      <c r="Y5" s="22" t="e">
        <f t="shared" si="7"/>
        <v>#N/A</v>
      </c>
      <c r="Z5" s="22" t="e">
        <f t="shared" si="8"/>
        <v>#N/A</v>
      </c>
      <c r="AA5" s="22" t="e">
        <v>#N/A</v>
      </c>
      <c r="AB5" s="22" t="e">
        <f t="shared" si="9"/>
        <v>#N/A</v>
      </c>
      <c r="AE5" s="22">
        <v>3</v>
      </c>
      <c r="AF5" s="22" t="s">
        <v>12</v>
      </c>
      <c r="AH5" s="22">
        <f t="shared" si="10"/>
        <v>18</v>
      </c>
      <c r="AI5" s="22">
        <f t="shared" si="11"/>
        <v>-15</v>
      </c>
      <c r="AJ5" s="35">
        <v>-15</v>
      </c>
      <c r="AL5" s="22">
        <v>1.0065786438490274</v>
      </c>
      <c r="AM5" s="22" t="s">
        <v>63</v>
      </c>
      <c r="AP5" s="22" t="s">
        <v>28</v>
      </c>
      <c r="AQ5" s="22">
        <v>0.15</v>
      </c>
    </row>
    <row r="6" spans="1:44" x14ac:dyDescent="0.25">
      <c r="B6" s="27">
        <v>4</v>
      </c>
      <c r="C6" s="24" t="s">
        <v>17</v>
      </c>
      <c r="D6" s="24">
        <v>31</v>
      </c>
      <c r="G6" s="31">
        <f t="shared" si="0"/>
        <v>0</v>
      </c>
      <c r="H6" s="50">
        <v>4</v>
      </c>
      <c r="I6" s="36" t="s">
        <v>17</v>
      </c>
      <c r="J6" s="28">
        <f>VLOOKUP(I6,$S$2:$U$54,3,0)</f>
        <v>31</v>
      </c>
      <c r="K6" s="32" t="str">
        <f t="shared" si="1"/>
        <v>4th</v>
      </c>
      <c r="L6" s="24">
        <f t="shared" si="2"/>
        <v>0</v>
      </c>
      <c r="M6" s="33">
        <f t="shared" si="3"/>
        <v>0</v>
      </c>
      <c r="N6" s="34">
        <f t="shared" si="12"/>
        <v>0.18</v>
      </c>
      <c r="O6" s="24" t="s">
        <v>28</v>
      </c>
      <c r="P6" s="23"/>
      <c r="Q6" s="22">
        <v>1.0912248333151662</v>
      </c>
      <c r="R6" s="22" t="s">
        <v>17</v>
      </c>
      <c r="S6" s="22" t="s">
        <v>28</v>
      </c>
      <c r="T6" s="22" t="e">
        <f t="shared" si="4"/>
        <v>#N/A</v>
      </c>
      <c r="U6" s="22" t="e">
        <v>#N/A</v>
      </c>
      <c r="V6" s="22" t="e">
        <f t="shared" si="5"/>
        <v>#N/A</v>
      </c>
      <c r="W6" s="22" t="e">
        <f t="shared" si="6"/>
        <v>#N/A</v>
      </c>
      <c r="X6" s="22" t="e">
        <v>#N/A</v>
      </c>
      <c r="Y6" s="22" t="e">
        <f t="shared" si="7"/>
        <v>#N/A</v>
      </c>
      <c r="Z6" s="22" t="e">
        <f t="shared" si="8"/>
        <v>#N/A</v>
      </c>
      <c r="AA6" s="22" t="e">
        <v>#N/A</v>
      </c>
      <c r="AB6" s="22" t="e">
        <f t="shared" si="9"/>
        <v>#N/A</v>
      </c>
      <c r="AE6" s="22">
        <v>4</v>
      </c>
      <c r="AF6" s="22" t="s">
        <v>8</v>
      </c>
      <c r="AH6" s="22">
        <f t="shared" si="10"/>
        <v>2</v>
      </c>
      <c r="AI6" s="22">
        <f t="shared" si="11"/>
        <v>2</v>
      </c>
      <c r="AJ6" s="35">
        <v>2</v>
      </c>
      <c r="AL6" s="22">
        <v>0.92379047759525534</v>
      </c>
      <c r="AM6" s="22" t="s">
        <v>70</v>
      </c>
      <c r="AP6" s="22" t="s">
        <v>60</v>
      </c>
      <c r="AQ6" s="22">
        <v>0.1</v>
      </c>
    </row>
    <row r="7" spans="1:44" x14ac:dyDescent="0.25">
      <c r="B7" s="27">
        <v>5</v>
      </c>
      <c r="C7" s="24" t="s">
        <v>4</v>
      </c>
      <c r="D7" s="24">
        <v>27</v>
      </c>
      <c r="G7" s="31">
        <f t="shared" si="0"/>
        <v>0</v>
      </c>
      <c r="H7" s="50">
        <v>5</v>
      </c>
      <c r="I7" s="36" t="s">
        <v>4</v>
      </c>
      <c r="J7" s="28">
        <f>VLOOKUP(I7,$S$2:$U$54,3,0)</f>
        <v>27</v>
      </c>
      <c r="K7" s="32" t="str">
        <f t="shared" si="1"/>
        <v>5th</v>
      </c>
      <c r="L7" s="24">
        <f t="shared" si="2"/>
        <v>0</v>
      </c>
      <c r="M7" s="33">
        <f t="shared" si="3"/>
        <v>0</v>
      </c>
      <c r="N7" s="34">
        <f t="shared" si="12"/>
        <v>0.28000000000000003</v>
      </c>
      <c r="P7" s="23"/>
      <c r="Q7" s="22">
        <v>1.0817050981912921</v>
      </c>
      <c r="R7" s="22" t="s">
        <v>4</v>
      </c>
      <c r="S7" s="22" t="s">
        <v>23</v>
      </c>
      <c r="T7" s="22">
        <f t="shared" si="4"/>
        <v>0</v>
      </c>
      <c r="U7" s="22">
        <v>0</v>
      </c>
      <c r="V7" s="22">
        <f t="shared" si="5"/>
        <v>0</v>
      </c>
      <c r="W7" s="22">
        <f t="shared" si="6"/>
        <v>0</v>
      </c>
      <c r="X7" s="22">
        <v>0</v>
      </c>
      <c r="Y7" s="22">
        <f t="shared" si="7"/>
        <v>0</v>
      </c>
      <c r="Z7" s="22">
        <f t="shared" si="8"/>
        <v>0</v>
      </c>
      <c r="AA7" s="22">
        <v>0</v>
      </c>
      <c r="AB7" s="22">
        <f t="shared" si="9"/>
        <v>0</v>
      </c>
      <c r="AE7" s="22">
        <v>5</v>
      </c>
      <c r="AF7" s="22" t="s">
        <v>54</v>
      </c>
      <c r="AH7" s="22">
        <f t="shared" si="10"/>
        <v>19</v>
      </c>
      <c r="AI7" s="22">
        <f t="shared" si="11"/>
        <v>-14</v>
      </c>
      <c r="AJ7" s="35">
        <v>-14</v>
      </c>
      <c r="AL7" s="22">
        <v>0.86108349284448715</v>
      </c>
      <c r="AM7" s="22" t="s">
        <v>65</v>
      </c>
      <c r="AP7" s="22" t="s">
        <v>70</v>
      </c>
      <c r="AQ7" s="22">
        <v>0.13</v>
      </c>
    </row>
    <row r="8" spans="1:44" x14ac:dyDescent="0.25">
      <c r="B8" s="27">
        <v>6</v>
      </c>
      <c r="C8" s="24" t="s">
        <v>66</v>
      </c>
      <c r="D8" s="24">
        <v>24</v>
      </c>
      <c r="G8" s="31">
        <f t="shared" si="0"/>
        <v>0</v>
      </c>
      <c r="H8" s="50">
        <v>6</v>
      </c>
      <c r="I8" s="24" t="s">
        <v>66</v>
      </c>
      <c r="J8" s="28">
        <f>VLOOKUP(I8,$S$2:$U$54,3,0)</f>
        <v>24</v>
      </c>
      <c r="K8" s="32" t="str">
        <f t="shared" si="1"/>
        <v>6th</v>
      </c>
      <c r="L8" s="24">
        <f t="shared" si="2"/>
        <v>0</v>
      </c>
      <c r="M8" s="33">
        <f t="shared" si="3"/>
        <v>0</v>
      </c>
      <c r="N8" s="34">
        <f t="shared" si="12"/>
        <v>0.17</v>
      </c>
      <c r="O8" s="11" t="s">
        <v>76</v>
      </c>
      <c r="P8" s="23"/>
      <c r="Q8" s="22">
        <v>1.0583746436576891</v>
      </c>
      <c r="R8" s="22" t="s">
        <v>66</v>
      </c>
      <c r="S8" s="22" t="s">
        <v>52</v>
      </c>
      <c r="T8" s="22">
        <f t="shared" si="4"/>
        <v>0</v>
      </c>
      <c r="U8" s="22">
        <v>0</v>
      </c>
      <c r="V8" s="22">
        <f t="shared" si="5"/>
        <v>0</v>
      </c>
      <c r="W8" s="22">
        <f t="shared" si="6"/>
        <v>0</v>
      </c>
      <c r="X8" s="22">
        <v>0</v>
      </c>
      <c r="Y8" s="22">
        <f t="shared" si="7"/>
        <v>0</v>
      </c>
      <c r="Z8" s="22">
        <f t="shared" si="8"/>
        <v>0</v>
      </c>
      <c r="AA8" s="22">
        <v>0</v>
      </c>
      <c r="AB8" s="22">
        <f t="shared" si="9"/>
        <v>0</v>
      </c>
      <c r="AE8" s="22">
        <v>6</v>
      </c>
      <c r="AF8" s="22" t="s">
        <v>4</v>
      </c>
      <c r="AH8" s="22">
        <f t="shared" si="10"/>
        <v>5</v>
      </c>
      <c r="AI8" s="22">
        <f t="shared" si="11"/>
        <v>1</v>
      </c>
      <c r="AJ8" s="35">
        <v>1</v>
      </c>
      <c r="AL8" s="22">
        <v>0.79241772862580506</v>
      </c>
      <c r="AM8" s="22" t="s">
        <v>20</v>
      </c>
      <c r="AP8" s="23" t="s">
        <v>15</v>
      </c>
      <c r="AQ8" s="22">
        <v>0.35</v>
      </c>
    </row>
    <row r="9" spans="1:44" x14ac:dyDescent="0.25">
      <c r="B9" s="27">
        <v>7</v>
      </c>
      <c r="C9" s="24" t="s">
        <v>59</v>
      </c>
      <c r="D9" s="24">
        <v>21</v>
      </c>
      <c r="G9" s="31">
        <f t="shared" si="0"/>
        <v>0</v>
      </c>
      <c r="H9" s="50">
        <v>7</v>
      </c>
      <c r="I9" s="24" t="s">
        <v>59</v>
      </c>
      <c r="J9" s="28">
        <f>VLOOKUP(I9,$S$2:$U$54,3,0)</f>
        <v>21</v>
      </c>
      <c r="K9" s="32" t="str">
        <f t="shared" si="1"/>
        <v>7th</v>
      </c>
      <c r="L9" s="24">
        <f t="shared" si="2"/>
        <v>0</v>
      </c>
      <c r="M9" s="33">
        <f t="shared" si="3"/>
        <v>0</v>
      </c>
      <c r="N9" s="34">
        <f t="shared" si="12"/>
        <v>0.26</v>
      </c>
      <c r="O9" s="24" t="s">
        <v>52</v>
      </c>
      <c r="P9" s="23"/>
      <c r="Q9" s="22">
        <v>1.0162655199586319</v>
      </c>
      <c r="R9" s="22" t="s">
        <v>59</v>
      </c>
      <c r="S9" s="22" t="s">
        <v>9</v>
      </c>
      <c r="T9" s="22">
        <f t="shared" si="4"/>
        <v>15</v>
      </c>
      <c r="U9" s="22">
        <v>15</v>
      </c>
      <c r="V9" s="22">
        <f t="shared" si="5"/>
        <v>30</v>
      </c>
      <c r="W9" s="22">
        <f t="shared" si="6"/>
        <v>0</v>
      </c>
      <c r="X9" s="22">
        <v>0</v>
      </c>
      <c r="Y9" s="22">
        <f t="shared" si="7"/>
        <v>0</v>
      </c>
      <c r="Z9" s="22">
        <f t="shared" si="8"/>
        <v>0</v>
      </c>
      <c r="AA9" s="22">
        <v>0</v>
      </c>
      <c r="AB9" s="22">
        <f t="shared" si="9"/>
        <v>0</v>
      </c>
      <c r="AE9" s="22">
        <v>7</v>
      </c>
      <c r="AF9" s="22" t="s">
        <v>10</v>
      </c>
      <c r="AH9" s="22">
        <f t="shared" si="10"/>
        <v>10</v>
      </c>
      <c r="AI9" s="22">
        <f t="shared" si="11"/>
        <v>-3</v>
      </c>
      <c r="AJ9" s="35">
        <v>-3</v>
      </c>
      <c r="AL9" s="22">
        <v>0.70271805911815299</v>
      </c>
      <c r="AM9" s="22" t="s">
        <v>74</v>
      </c>
      <c r="AP9" s="22" t="s">
        <v>23</v>
      </c>
      <c r="AQ9" s="22">
        <v>0.25</v>
      </c>
    </row>
    <row r="10" spans="1:44" ht="15.75" thickBot="1" x14ac:dyDescent="0.3">
      <c r="B10" s="27">
        <v>8</v>
      </c>
      <c r="C10" s="24" t="s">
        <v>50</v>
      </c>
      <c r="D10" s="24">
        <v>18</v>
      </c>
      <c r="E10" s="59" t="str">
        <f>IF(ISNA(SUM(L3:L28)),"New Season",CONCATENATE("Standings After ",SUM(L3:L28)," Race",IF(SUM(L3:L28)=1,"","s")))</f>
        <v>Standings After 1 Race</v>
      </c>
      <c r="F10" s="60"/>
      <c r="G10" s="31">
        <f t="shared" si="0"/>
        <v>0</v>
      </c>
      <c r="H10" s="50">
        <v>8</v>
      </c>
      <c r="I10" s="24" t="s">
        <v>50</v>
      </c>
      <c r="J10" s="28">
        <f>VLOOKUP(I10,$S$2:$U$54,3,0)</f>
        <v>18</v>
      </c>
      <c r="K10" s="32" t="str">
        <f t="shared" si="1"/>
        <v>8th</v>
      </c>
      <c r="L10" s="24">
        <f t="shared" si="2"/>
        <v>0</v>
      </c>
      <c r="M10" s="33">
        <f t="shared" si="3"/>
        <v>0</v>
      </c>
      <c r="N10" s="34">
        <f t="shared" si="12"/>
        <v>0.15</v>
      </c>
      <c r="O10" s="24" t="s">
        <v>50</v>
      </c>
      <c r="P10" s="23"/>
      <c r="Q10" s="22">
        <v>1.0017411129654064</v>
      </c>
      <c r="R10" s="22" t="s">
        <v>50</v>
      </c>
      <c r="S10" s="22" t="s">
        <v>20</v>
      </c>
      <c r="T10" s="22" t="e">
        <f t="shared" si="4"/>
        <v>#N/A</v>
      </c>
      <c r="U10" s="22" t="e">
        <v>#N/A</v>
      </c>
      <c r="V10" s="22" t="e">
        <f t="shared" si="5"/>
        <v>#N/A</v>
      </c>
      <c r="W10" s="22" t="e">
        <f t="shared" si="6"/>
        <v>#N/A</v>
      </c>
      <c r="X10" s="22" t="e">
        <v>#N/A</v>
      </c>
      <c r="Y10" s="22" t="e">
        <f t="shared" si="7"/>
        <v>#N/A</v>
      </c>
      <c r="Z10" s="22" t="e">
        <f t="shared" si="8"/>
        <v>#N/A</v>
      </c>
      <c r="AA10" s="22" t="e">
        <v>#N/A</v>
      </c>
      <c r="AB10" s="22" t="e">
        <f t="shared" si="9"/>
        <v>#N/A</v>
      </c>
      <c r="AE10" s="22">
        <v>8</v>
      </c>
      <c r="AF10" s="22" t="s">
        <v>23</v>
      </c>
      <c r="AH10" s="22">
        <f t="shared" si="10"/>
        <v>20</v>
      </c>
      <c r="AI10" s="22">
        <f t="shared" si="11"/>
        <v>-12</v>
      </c>
      <c r="AJ10" s="35">
        <v>-12</v>
      </c>
      <c r="AL10" s="22">
        <v>0.19330555921287565</v>
      </c>
      <c r="AM10" s="22" t="s">
        <v>60</v>
      </c>
      <c r="AP10" s="37" t="s">
        <v>58</v>
      </c>
      <c r="AQ10" s="22">
        <v>0.05</v>
      </c>
      <c r="AR10" s="22" t="s">
        <v>110</v>
      </c>
    </row>
    <row r="11" spans="1:44" ht="15.75" thickBot="1" x14ac:dyDescent="0.3">
      <c r="B11" s="27">
        <v>9</v>
      </c>
      <c r="C11" s="24" t="s">
        <v>9</v>
      </c>
      <c r="D11" s="24">
        <v>15</v>
      </c>
      <c r="G11" s="31">
        <f t="shared" si="0"/>
        <v>0</v>
      </c>
      <c r="H11" s="50">
        <v>9</v>
      </c>
      <c r="I11" s="24" t="s">
        <v>9</v>
      </c>
      <c r="J11" s="28">
        <f>VLOOKUP(I11,$S$2:$U$54,3,0)</f>
        <v>15</v>
      </c>
      <c r="K11" s="32" t="str">
        <f t="shared" si="1"/>
        <v>9th</v>
      </c>
      <c r="L11" s="24">
        <f t="shared" si="2"/>
        <v>0</v>
      </c>
      <c r="M11" s="33">
        <f t="shared" si="3"/>
        <v>0</v>
      </c>
      <c r="N11" s="34">
        <f t="shared" si="12"/>
        <v>0.11</v>
      </c>
      <c r="O11" s="24" t="s">
        <v>63</v>
      </c>
      <c r="P11" s="23"/>
      <c r="Q11" s="22">
        <v>0.94357509527447292</v>
      </c>
      <c r="R11" s="22" t="s">
        <v>9</v>
      </c>
      <c r="S11" s="22" t="s">
        <v>3</v>
      </c>
      <c r="T11" s="22">
        <f t="shared" si="4"/>
        <v>36</v>
      </c>
      <c r="U11" s="22">
        <v>36</v>
      </c>
      <c r="V11" s="22">
        <f t="shared" si="5"/>
        <v>72</v>
      </c>
      <c r="W11" s="22">
        <f t="shared" si="6"/>
        <v>0</v>
      </c>
      <c r="X11" s="22">
        <v>0</v>
      </c>
      <c r="Y11" s="22">
        <f t="shared" si="7"/>
        <v>0</v>
      </c>
      <c r="Z11" s="22">
        <f t="shared" si="8"/>
        <v>1</v>
      </c>
      <c r="AA11" s="22">
        <v>1</v>
      </c>
      <c r="AB11" s="22">
        <f t="shared" si="9"/>
        <v>2</v>
      </c>
      <c r="AE11" s="22">
        <v>9</v>
      </c>
      <c r="AF11" s="22" t="s">
        <v>15</v>
      </c>
      <c r="AH11" s="22">
        <f t="shared" si="10"/>
        <v>21</v>
      </c>
      <c r="AI11" s="22">
        <f t="shared" si="11"/>
        <v>-12</v>
      </c>
      <c r="AJ11" s="35">
        <v>-12</v>
      </c>
      <c r="AP11" s="22" t="s">
        <v>18</v>
      </c>
      <c r="AQ11" s="22">
        <v>0.1</v>
      </c>
      <c r="AR11" s="38" t="s">
        <v>149</v>
      </c>
    </row>
    <row r="12" spans="1:44" x14ac:dyDescent="0.25">
      <c r="B12" s="27">
        <v>10</v>
      </c>
      <c r="C12" s="24" t="s">
        <v>10</v>
      </c>
      <c r="D12" s="24">
        <v>12</v>
      </c>
      <c r="G12" s="31">
        <f t="shared" si="0"/>
        <v>0</v>
      </c>
      <c r="H12" s="50">
        <v>10</v>
      </c>
      <c r="I12" s="24" t="s">
        <v>10</v>
      </c>
      <c r="J12" s="28">
        <f>VLOOKUP(I12,$S$2:$U$54,3,0)</f>
        <v>12</v>
      </c>
      <c r="K12" s="32" t="str">
        <f t="shared" si="1"/>
        <v>10th</v>
      </c>
      <c r="L12" s="24">
        <f t="shared" si="2"/>
        <v>0</v>
      </c>
      <c r="M12" s="33">
        <f t="shared" si="3"/>
        <v>0</v>
      </c>
      <c r="N12" s="34">
        <f t="shared" si="12"/>
        <v>0.35499999999999998</v>
      </c>
      <c r="O12" s="24" t="s">
        <v>70</v>
      </c>
      <c r="P12" s="23"/>
      <c r="Q12" s="22">
        <v>0.83199224174403041</v>
      </c>
      <c r="R12" s="22" t="s">
        <v>10</v>
      </c>
      <c r="S12" s="22" t="s">
        <v>73</v>
      </c>
      <c r="T12" s="22" t="e">
        <f t="shared" si="4"/>
        <v>#N/A</v>
      </c>
      <c r="U12" s="22" t="e">
        <v>#N/A</v>
      </c>
      <c r="V12" s="22" t="e">
        <f t="shared" si="5"/>
        <v>#N/A</v>
      </c>
      <c r="W12" s="22" t="e">
        <f t="shared" si="6"/>
        <v>#N/A</v>
      </c>
      <c r="X12" s="22" t="e">
        <v>#N/A</v>
      </c>
      <c r="Y12" s="22" t="e">
        <f t="shared" si="7"/>
        <v>#N/A</v>
      </c>
      <c r="Z12" s="22" t="e">
        <f t="shared" si="8"/>
        <v>#N/A</v>
      </c>
      <c r="AA12" s="22" t="e">
        <v>#N/A</v>
      </c>
      <c r="AB12" s="22" t="e">
        <f t="shared" si="9"/>
        <v>#N/A</v>
      </c>
      <c r="AE12" s="22">
        <v>10</v>
      </c>
      <c r="AF12" s="22" t="s">
        <v>59</v>
      </c>
      <c r="AH12" s="22">
        <f t="shared" si="10"/>
        <v>7</v>
      </c>
      <c r="AI12" s="22">
        <f t="shared" si="11"/>
        <v>3</v>
      </c>
      <c r="AJ12" s="35">
        <v>3</v>
      </c>
      <c r="AP12" s="37" t="s">
        <v>68</v>
      </c>
      <c r="AQ12" s="22">
        <v>0.09</v>
      </c>
    </row>
    <row r="13" spans="1:44" x14ac:dyDescent="0.25">
      <c r="B13" s="27">
        <v>11</v>
      </c>
      <c r="C13" s="24" t="s">
        <v>16</v>
      </c>
      <c r="D13" s="24">
        <v>10</v>
      </c>
      <c r="G13" s="31">
        <f t="shared" si="0"/>
        <v>0</v>
      </c>
      <c r="H13" s="50">
        <v>11</v>
      </c>
      <c r="I13" s="36" t="s">
        <v>16</v>
      </c>
      <c r="J13" s="28">
        <f>VLOOKUP(I13,$S$2:$U$54,3,0)</f>
        <v>10</v>
      </c>
      <c r="K13" s="32" t="str">
        <f t="shared" si="1"/>
        <v>11th</v>
      </c>
      <c r="L13" s="24">
        <f t="shared" si="2"/>
        <v>0</v>
      </c>
      <c r="M13" s="33">
        <f t="shared" si="3"/>
        <v>0</v>
      </c>
      <c r="N13" s="34">
        <f t="shared" si="12"/>
        <v>0.35</v>
      </c>
      <c r="O13" s="24" t="s">
        <v>65</v>
      </c>
      <c r="P13" s="23"/>
      <c r="Q13" s="22">
        <v>0.77960012700398618</v>
      </c>
      <c r="R13" s="22" t="s">
        <v>16</v>
      </c>
      <c r="S13" s="22" t="s">
        <v>18</v>
      </c>
      <c r="T13" s="22">
        <f t="shared" si="4"/>
        <v>6</v>
      </c>
      <c r="U13" s="22">
        <v>6</v>
      </c>
      <c r="V13" s="22">
        <f t="shared" si="5"/>
        <v>12</v>
      </c>
      <c r="W13" s="22">
        <f t="shared" si="6"/>
        <v>0</v>
      </c>
      <c r="X13" s="22">
        <v>0</v>
      </c>
      <c r="Y13" s="22">
        <f t="shared" si="7"/>
        <v>0</v>
      </c>
      <c r="Z13" s="22">
        <f t="shared" si="8"/>
        <v>0</v>
      </c>
      <c r="AA13" s="22">
        <v>0</v>
      </c>
      <c r="AB13" s="22">
        <f t="shared" si="9"/>
        <v>0</v>
      </c>
      <c r="AE13" s="22">
        <v>11</v>
      </c>
      <c r="AF13" s="22" t="s">
        <v>66</v>
      </c>
      <c r="AH13" s="22">
        <f t="shared" si="10"/>
        <v>6</v>
      </c>
      <c r="AI13" s="22">
        <f t="shared" si="11"/>
        <v>5</v>
      </c>
      <c r="AJ13" s="35">
        <v>5</v>
      </c>
      <c r="AP13" s="22" t="s">
        <v>21</v>
      </c>
      <c r="AQ13" s="22">
        <v>0.12</v>
      </c>
    </row>
    <row r="14" spans="1:44" x14ac:dyDescent="0.25">
      <c r="B14" s="27">
        <v>12</v>
      </c>
      <c r="C14" s="24" t="s">
        <v>64</v>
      </c>
      <c r="D14" s="24">
        <v>8</v>
      </c>
      <c r="G14" s="31">
        <f t="shared" si="0"/>
        <v>0</v>
      </c>
      <c r="H14" s="50">
        <v>12</v>
      </c>
      <c r="I14" s="24" t="s">
        <v>64</v>
      </c>
      <c r="J14" s="28">
        <f>VLOOKUP(I14,$S$2:$U$54,3,0)</f>
        <v>8</v>
      </c>
      <c r="K14" s="32" t="str">
        <f t="shared" si="1"/>
        <v>12th</v>
      </c>
      <c r="L14" s="24">
        <f t="shared" si="2"/>
        <v>0</v>
      </c>
      <c r="M14" s="33">
        <f t="shared" si="3"/>
        <v>0</v>
      </c>
      <c r="N14" s="34">
        <f t="shared" si="12"/>
        <v>0.2</v>
      </c>
      <c r="O14" s="24" t="s">
        <v>20</v>
      </c>
      <c r="P14" s="23"/>
      <c r="Q14" s="22">
        <v>0.76803808355307779</v>
      </c>
      <c r="R14" s="22" t="s">
        <v>64</v>
      </c>
      <c r="S14" s="22" t="s">
        <v>70</v>
      </c>
      <c r="T14" s="22">
        <f t="shared" si="4"/>
        <v>2</v>
      </c>
      <c r="U14" s="22">
        <v>2</v>
      </c>
      <c r="V14" s="22">
        <f t="shared" si="5"/>
        <v>4</v>
      </c>
      <c r="W14" s="22">
        <f t="shared" si="6"/>
        <v>0</v>
      </c>
      <c r="X14" s="22">
        <v>0</v>
      </c>
      <c r="Y14" s="22">
        <f t="shared" si="7"/>
        <v>0</v>
      </c>
      <c r="Z14" s="22">
        <f t="shared" si="8"/>
        <v>0</v>
      </c>
      <c r="AA14" s="22">
        <v>0</v>
      </c>
      <c r="AB14" s="22">
        <f t="shared" si="9"/>
        <v>0</v>
      </c>
      <c r="AE14" s="22">
        <v>12</v>
      </c>
      <c r="AF14" s="22" t="s">
        <v>64</v>
      </c>
      <c r="AH14" s="22">
        <f t="shared" si="10"/>
        <v>12</v>
      </c>
      <c r="AI14" s="22">
        <f t="shared" si="11"/>
        <v>0</v>
      </c>
      <c r="AJ14" s="35">
        <v>0</v>
      </c>
      <c r="AP14" s="22" t="s">
        <v>22</v>
      </c>
      <c r="AQ14" s="22">
        <v>0.23</v>
      </c>
    </row>
    <row r="15" spans="1:44" x14ac:dyDescent="0.25">
      <c r="B15" s="27">
        <v>13</v>
      </c>
      <c r="C15" s="24" t="s">
        <v>18</v>
      </c>
      <c r="D15" s="24">
        <v>6</v>
      </c>
      <c r="G15" s="31">
        <f t="shared" si="0"/>
        <v>0</v>
      </c>
      <c r="H15" s="50">
        <v>13</v>
      </c>
      <c r="I15" s="24" t="s">
        <v>18</v>
      </c>
      <c r="J15" s="28">
        <f>VLOOKUP(I15,$S$2:$U$54,3,0)</f>
        <v>6</v>
      </c>
      <c r="K15" s="32" t="str">
        <f t="shared" si="1"/>
        <v>13th</v>
      </c>
      <c r="L15" s="24">
        <f t="shared" si="2"/>
        <v>0</v>
      </c>
      <c r="M15" s="33">
        <f t="shared" si="3"/>
        <v>0</v>
      </c>
      <c r="N15" s="34">
        <f t="shared" si="12"/>
        <v>0.1</v>
      </c>
      <c r="O15" s="24" t="s">
        <v>74</v>
      </c>
      <c r="P15" s="23"/>
      <c r="Q15" s="22">
        <v>0.69979337692609622</v>
      </c>
      <c r="R15" s="22" t="s">
        <v>18</v>
      </c>
      <c r="S15" s="22" t="s">
        <v>17</v>
      </c>
      <c r="T15" s="22">
        <f t="shared" si="4"/>
        <v>31</v>
      </c>
      <c r="U15" s="22">
        <v>31</v>
      </c>
      <c r="V15" s="22">
        <f t="shared" si="5"/>
        <v>62</v>
      </c>
      <c r="W15" s="22">
        <f t="shared" si="6"/>
        <v>0</v>
      </c>
      <c r="X15" s="22">
        <v>0</v>
      </c>
      <c r="Y15" s="22">
        <f t="shared" si="7"/>
        <v>0</v>
      </c>
      <c r="Z15" s="22">
        <f t="shared" si="8"/>
        <v>0</v>
      </c>
      <c r="AA15" s="22">
        <v>0</v>
      </c>
      <c r="AB15" s="22">
        <f t="shared" si="9"/>
        <v>0</v>
      </c>
      <c r="AE15" s="22">
        <v>13</v>
      </c>
      <c r="AF15" s="22" t="s">
        <v>6</v>
      </c>
      <c r="AH15" s="22">
        <f t="shared" si="10"/>
        <v>22</v>
      </c>
      <c r="AI15" s="22">
        <f t="shared" si="11"/>
        <v>-9</v>
      </c>
      <c r="AJ15" s="35">
        <v>-9</v>
      </c>
      <c r="AP15" s="23" t="s">
        <v>5</v>
      </c>
      <c r="AQ15" s="22">
        <v>0.3</v>
      </c>
    </row>
    <row r="16" spans="1:44" x14ac:dyDescent="0.25">
      <c r="B16" s="27">
        <v>14</v>
      </c>
      <c r="C16" s="24" t="s">
        <v>22</v>
      </c>
      <c r="D16" s="33">
        <v>4</v>
      </c>
      <c r="E16" s="39" t="s">
        <v>104</v>
      </c>
      <c r="F16" s="40"/>
      <c r="G16" s="31">
        <f t="shared" si="0"/>
        <v>0</v>
      </c>
      <c r="H16" s="50">
        <v>14</v>
      </c>
      <c r="I16" s="24" t="s">
        <v>22</v>
      </c>
      <c r="J16" s="28">
        <f>VLOOKUP(I16,$S$2:$U$54,3,0)</f>
        <v>4</v>
      </c>
      <c r="K16" s="32" t="str">
        <f t="shared" si="1"/>
        <v>14th</v>
      </c>
      <c r="L16" s="24">
        <f t="shared" si="2"/>
        <v>0</v>
      </c>
      <c r="M16" s="33">
        <f t="shared" si="3"/>
        <v>0</v>
      </c>
      <c r="N16" s="34">
        <f t="shared" si="12"/>
        <v>0.23</v>
      </c>
      <c r="O16" s="24" t="s">
        <v>60</v>
      </c>
      <c r="P16" s="23"/>
      <c r="Q16" s="22">
        <v>0.66479242358311474</v>
      </c>
      <c r="R16" s="22" t="s">
        <v>22</v>
      </c>
      <c r="S16" s="22" t="s">
        <v>22</v>
      </c>
      <c r="T16" s="22">
        <f t="shared" si="4"/>
        <v>4</v>
      </c>
      <c r="U16" s="22">
        <v>4</v>
      </c>
      <c r="V16" s="22">
        <f t="shared" si="5"/>
        <v>8</v>
      </c>
      <c r="W16" s="22">
        <f t="shared" si="6"/>
        <v>0</v>
      </c>
      <c r="X16" s="22">
        <v>0</v>
      </c>
      <c r="Y16" s="22">
        <f t="shared" si="7"/>
        <v>0</v>
      </c>
      <c r="Z16" s="22">
        <f t="shared" si="8"/>
        <v>0</v>
      </c>
      <c r="AA16" s="22">
        <v>0</v>
      </c>
      <c r="AB16" s="22">
        <f t="shared" si="9"/>
        <v>0</v>
      </c>
      <c r="AE16" s="22">
        <v>14</v>
      </c>
      <c r="AF16" s="22" t="s">
        <v>17</v>
      </c>
      <c r="AH16" s="22">
        <f t="shared" si="10"/>
        <v>4</v>
      </c>
      <c r="AI16" s="22">
        <f t="shared" si="11"/>
        <v>10</v>
      </c>
      <c r="AJ16" s="35">
        <v>10</v>
      </c>
      <c r="AP16" s="22" t="s">
        <v>9</v>
      </c>
      <c r="AQ16" s="22">
        <v>0.11</v>
      </c>
    </row>
    <row r="17" spans="2:43" x14ac:dyDescent="0.25">
      <c r="B17" s="27">
        <v>15</v>
      </c>
      <c r="C17" s="24" t="s">
        <v>70</v>
      </c>
      <c r="D17" s="33">
        <v>2</v>
      </c>
      <c r="E17" s="39" t="s">
        <v>54</v>
      </c>
      <c r="F17" s="41"/>
      <c r="G17" s="31">
        <f t="shared" si="0"/>
        <v>0</v>
      </c>
      <c r="H17" s="50">
        <v>15</v>
      </c>
      <c r="I17" s="24" t="s">
        <v>70</v>
      </c>
      <c r="J17" s="28">
        <f>VLOOKUP(I17,$S$2:$U$54,3,0)</f>
        <v>2</v>
      </c>
      <c r="K17" s="32" t="str">
        <f t="shared" si="1"/>
        <v>15th</v>
      </c>
      <c r="L17" s="24">
        <f t="shared" si="2"/>
        <v>0</v>
      </c>
      <c r="M17" s="33">
        <f t="shared" si="3"/>
        <v>0</v>
      </c>
      <c r="N17" s="34">
        <f t="shared" si="12"/>
        <v>0.13</v>
      </c>
      <c r="P17" s="23"/>
      <c r="Q17" s="22">
        <v>0.5674284207662359</v>
      </c>
      <c r="R17" s="22" t="s">
        <v>70</v>
      </c>
      <c r="S17" s="22" t="s">
        <v>66</v>
      </c>
      <c r="T17" s="22">
        <f t="shared" si="4"/>
        <v>24</v>
      </c>
      <c r="U17" s="22">
        <v>24</v>
      </c>
      <c r="V17" s="22">
        <f t="shared" si="5"/>
        <v>48</v>
      </c>
      <c r="W17" s="22">
        <f t="shared" si="6"/>
        <v>0</v>
      </c>
      <c r="X17" s="22">
        <v>0</v>
      </c>
      <c r="Y17" s="22">
        <f t="shared" si="7"/>
        <v>0</v>
      </c>
      <c r="Z17" s="22">
        <f t="shared" si="8"/>
        <v>0</v>
      </c>
      <c r="AA17" s="22">
        <v>0</v>
      </c>
      <c r="AB17" s="22">
        <f t="shared" si="9"/>
        <v>0</v>
      </c>
      <c r="AE17" s="22">
        <v>15</v>
      </c>
      <c r="AF17" s="22" t="s">
        <v>3</v>
      </c>
      <c r="AH17" s="22">
        <f t="shared" si="10"/>
        <v>3</v>
      </c>
      <c r="AI17" s="22">
        <f t="shared" si="11"/>
        <v>12</v>
      </c>
      <c r="AJ17" s="35">
        <v>12</v>
      </c>
      <c r="AP17" s="23" t="s">
        <v>57</v>
      </c>
      <c r="AQ17" s="22">
        <v>0.06</v>
      </c>
    </row>
    <row r="18" spans="2:43" x14ac:dyDescent="0.25">
      <c r="B18" s="27">
        <v>16</v>
      </c>
      <c r="C18" s="24" t="s">
        <v>27</v>
      </c>
      <c r="D18" s="24">
        <v>1</v>
      </c>
      <c r="G18" s="31">
        <f t="shared" si="0"/>
        <v>0</v>
      </c>
      <c r="H18" s="50">
        <v>16</v>
      </c>
      <c r="I18" s="24" t="s">
        <v>27</v>
      </c>
      <c r="J18" s="28">
        <f>VLOOKUP(I18,$S$2:$U$54,3,0)</f>
        <v>1</v>
      </c>
      <c r="K18" s="32" t="str">
        <f t="shared" si="1"/>
        <v>16th</v>
      </c>
      <c r="L18" s="24">
        <f t="shared" si="2"/>
        <v>0</v>
      </c>
      <c r="M18" s="33">
        <f t="shared" si="3"/>
        <v>0</v>
      </c>
      <c r="N18" s="34">
        <f t="shared" si="12"/>
        <v>0.22</v>
      </c>
      <c r="P18" s="23"/>
      <c r="Q18" s="22">
        <v>0.56649009023283559</v>
      </c>
      <c r="R18" s="22" t="s">
        <v>27</v>
      </c>
      <c r="S18" s="22" t="s">
        <v>4</v>
      </c>
      <c r="T18" s="22">
        <f t="shared" si="4"/>
        <v>27</v>
      </c>
      <c r="U18" s="22">
        <v>27</v>
      </c>
      <c r="V18" s="22">
        <f t="shared" si="5"/>
        <v>54</v>
      </c>
      <c r="W18" s="22">
        <f t="shared" si="6"/>
        <v>0</v>
      </c>
      <c r="X18" s="22">
        <v>0</v>
      </c>
      <c r="Y18" s="22">
        <f t="shared" si="7"/>
        <v>0</v>
      </c>
      <c r="Z18" s="22">
        <f t="shared" si="8"/>
        <v>0</v>
      </c>
      <c r="AA18" s="22">
        <v>0</v>
      </c>
      <c r="AB18" s="22">
        <f t="shared" si="9"/>
        <v>0</v>
      </c>
      <c r="AE18" s="22">
        <v>16</v>
      </c>
      <c r="AF18" s="22" t="s">
        <v>27</v>
      </c>
      <c r="AH18" s="22">
        <f t="shared" si="10"/>
        <v>16</v>
      </c>
      <c r="AI18" s="22">
        <f t="shared" si="11"/>
        <v>0</v>
      </c>
      <c r="AJ18" s="35">
        <v>0</v>
      </c>
      <c r="AP18" s="23" t="s">
        <v>25</v>
      </c>
      <c r="AQ18" s="22">
        <v>0.05</v>
      </c>
    </row>
    <row r="19" spans="2:43" x14ac:dyDescent="0.25">
      <c r="B19" s="27">
        <v>17</v>
      </c>
      <c r="C19" s="24" t="s">
        <v>12</v>
      </c>
      <c r="D19" s="24"/>
      <c r="G19" s="31">
        <f t="shared" si="0"/>
        <v>0</v>
      </c>
      <c r="H19" s="50">
        <v>17</v>
      </c>
      <c r="I19" s="24" t="s">
        <v>63</v>
      </c>
      <c r="J19" s="28">
        <f>VLOOKUP(I19,$S$2:$U$54,3,0)</f>
        <v>0</v>
      </c>
      <c r="K19" s="32" t="str">
        <f t="shared" si="1"/>
        <v>20th</v>
      </c>
      <c r="L19" s="24">
        <f t="shared" si="2"/>
        <v>0</v>
      </c>
      <c r="M19" s="33">
        <f t="shared" si="3"/>
        <v>0</v>
      </c>
      <c r="N19" s="34">
        <f t="shared" si="12"/>
        <v>0.28499999999999998</v>
      </c>
      <c r="P19" s="23"/>
      <c r="Q19" s="22">
        <v>0.51424140502894755</v>
      </c>
      <c r="R19" s="22" t="s">
        <v>12</v>
      </c>
      <c r="S19" s="22" t="s">
        <v>63</v>
      </c>
      <c r="T19" s="22">
        <f t="shared" si="4"/>
        <v>0</v>
      </c>
      <c r="U19" s="22">
        <v>0</v>
      </c>
      <c r="V19" s="22">
        <f t="shared" si="5"/>
        <v>0</v>
      </c>
      <c r="W19" s="22">
        <f t="shared" si="6"/>
        <v>0</v>
      </c>
      <c r="X19" s="22">
        <v>0</v>
      </c>
      <c r="Y19" s="22">
        <f t="shared" si="7"/>
        <v>0</v>
      </c>
      <c r="Z19" s="22">
        <f t="shared" si="8"/>
        <v>0</v>
      </c>
      <c r="AA19" s="22">
        <v>0</v>
      </c>
      <c r="AB19" s="22">
        <f t="shared" si="9"/>
        <v>0</v>
      </c>
      <c r="AE19" s="22">
        <v>17</v>
      </c>
      <c r="AF19" s="22" t="s">
        <v>7</v>
      </c>
      <c r="AH19" s="22">
        <f t="shared" si="10"/>
        <v>1</v>
      </c>
      <c r="AI19" s="22">
        <f t="shared" si="11"/>
        <v>16</v>
      </c>
      <c r="AJ19" s="35">
        <v>16</v>
      </c>
      <c r="AP19" s="22" t="s">
        <v>49</v>
      </c>
      <c r="AQ19" s="22">
        <v>0.11</v>
      </c>
    </row>
    <row r="20" spans="2:43" x14ac:dyDescent="0.25">
      <c r="B20" s="42">
        <v>18</v>
      </c>
      <c r="C20" s="43" t="s">
        <v>6</v>
      </c>
      <c r="D20" s="24"/>
      <c r="G20" s="31">
        <f t="shared" si="0"/>
        <v>0</v>
      </c>
      <c r="H20" s="50">
        <v>18</v>
      </c>
      <c r="I20" s="24" t="s">
        <v>12</v>
      </c>
      <c r="J20" s="28">
        <f>VLOOKUP(I20,$S$2:$U$54,3,0)</f>
        <v>0</v>
      </c>
      <c r="K20" s="32" t="str">
        <f t="shared" si="1"/>
        <v>17th</v>
      </c>
      <c r="L20" s="24">
        <f t="shared" si="2"/>
        <v>0</v>
      </c>
      <c r="M20" s="33">
        <f t="shared" si="3"/>
        <v>0</v>
      </c>
      <c r="N20" s="34">
        <f t="shared" si="12"/>
        <v>0.37</v>
      </c>
      <c r="P20" s="23"/>
      <c r="Q20" s="22">
        <v>0.46775709773871943</v>
      </c>
      <c r="R20" s="22" t="s">
        <v>6</v>
      </c>
      <c r="S20" s="22" t="s">
        <v>10</v>
      </c>
      <c r="T20" s="22">
        <f t="shared" si="4"/>
        <v>12</v>
      </c>
      <c r="U20" s="22">
        <v>12</v>
      </c>
      <c r="V20" s="22">
        <f t="shared" si="5"/>
        <v>24</v>
      </c>
      <c r="W20" s="22">
        <f t="shared" si="6"/>
        <v>0</v>
      </c>
      <c r="X20" s="22">
        <v>0</v>
      </c>
      <c r="Y20" s="22">
        <f t="shared" si="7"/>
        <v>0</v>
      </c>
      <c r="Z20" s="22">
        <f t="shared" si="8"/>
        <v>0</v>
      </c>
      <c r="AA20" s="22">
        <v>0</v>
      </c>
      <c r="AB20" s="22">
        <f t="shared" si="9"/>
        <v>0</v>
      </c>
      <c r="AE20" s="22">
        <v>18</v>
      </c>
      <c r="AF20" s="22" t="s">
        <v>5</v>
      </c>
      <c r="AH20" s="22">
        <f t="shared" si="10"/>
        <v>23</v>
      </c>
      <c r="AI20" s="22">
        <f t="shared" si="11"/>
        <v>-5</v>
      </c>
      <c r="AJ20" s="35">
        <v>-5</v>
      </c>
      <c r="AP20" s="23" t="s">
        <v>69</v>
      </c>
      <c r="AQ20" s="22">
        <v>0.14000000000000001</v>
      </c>
    </row>
    <row r="21" spans="2:43" x14ac:dyDescent="0.25">
      <c r="B21" s="42">
        <v>19</v>
      </c>
      <c r="C21" s="43" t="s">
        <v>5</v>
      </c>
      <c r="D21" s="24"/>
      <c r="G21" s="31">
        <f t="shared" si="0"/>
        <v>0</v>
      </c>
      <c r="H21" s="50">
        <v>19</v>
      </c>
      <c r="I21" s="36" t="s">
        <v>54</v>
      </c>
      <c r="J21" s="28">
        <f>VLOOKUP(I21,$S$2:$U$54,3,0)</f>
        <v>0</v>
      </c>
      <c r="K21" s="32" t="str">
        <f t="shared" ref="K21:K28" si="13">IFERROR(CONCATENATE(INDEX($B$3:$C$28,MATCH(I21,$C$3:$C$28,0),1),IF(INDEX($B$3:$C$28,MATCH(I21,$C$3:$C$28,0),1)=1,"st",IF(INDEX($B$3:$C$28,MATCH(I21,$C$3:$C$28,0),1)=2,"nd",IF(INDEX($B$3:$C$28,MATCH(I21,$C$3:$C$28,0),1)=3,"rd","th")))),"NEW")</f>
        <v>24th</v>
      </c>
      <c r="L21" s="24">
        <f t="shared" si="2"/>
        <v>0</v>
      </c>
      <c r="M21" s="33">
        <f t="shared" si="3"/>
        <v>0</v>
      </c>
      <c r="N21" s="34">
        <f t="shared" si="12"/>
        <v>0.35</v>
      </c>
      <c r="P21" s="23"/>
      <c r="Q21" s="22">
        <v>0.46077930521111238</v>
      </c>
      <c r="R21" s="22" t="s">
        <v>5</v>
      </c>
      <c r="S21" s="22" t="s">
        <v>12</v>
      </c>
      <c r="T21" s="22">
        <f t="shared" si="4"/>
        <v>0</v>
      </c>
      <c r="U21" s="22">
        <v>0</v>
      </c>
      <c r="V21" s="22">
        <f t="shared" si="5"/>
        <v>0</v>
      </c>
      <c r="W21" s="22">
        <f t="shared" si="6"/>
        <v>0</v>
      </c>
      <c r="X21" s="22">
        <v>0</v>
      </c>
      <c r="Y21" s="22">
        <f t="shared" si="7"/>
        <v>0</v>
      </c>
      <c r="Z21" s="22">
        <f t="shared" si="8"/>
        <v>0</v>
      </c>
      <c r="AA21" s="22">
        <v>0</v>
      </c>
      <c r="AB21" s="22">
        <f t="shared" si="9"/>
        <v>0</v>
      </c>
      <c r="AE21" s="22">
        <v>19</v>
      </c>
      <c r="AF21" s="22" t="s">
        <v>13</v>
      </c>
      <c r="AH21" s="22">
        <f t="shared" si="10"/>
        <v>24</v>
      </c>
      <c r="AI21" s="22">
        <f t="shared" si="11"/>
        <v>-5</v>
      </c>
      <c r="AJ21" s="35">
        <v>-5</v>
      </c>
      <c r="AP21" s="22" t="s">
        <v>73</v>
      </c>
      <c r="AQ21" s="22">
        <v>0.15</v>
      </c>
    </row>
    <row r="22" spans="2:43" x14ac:dyDescent="0.25">
      <c r="B22" s="42">
        <v>20</v>
      </c>
      <c r="C22" s="43" t="s">
        <v>63</v>
      </c>
      <c r="D22" s="24"/>
      <c r="G22" s="31">
        <f>IFERROR(IF(SUM($L$3:$L$28)=1,0,VLOOKUP(I22,$AF$3:$AJ$28,5,0)),"NEW")</f>
        <v>0</v>
      </c>
      <c r="H22" s="50">
        <v>20</v>
      </c>
      <c r="I22" s="24" t="s">
        <v>23</v>
      </c>
      <c r="J22" s="28">
        <f>VLOOKUP(I22,$S$2:$U$54,3,0)</f>
        <v>0</v>
      </c>
      <c r="K22" s="32" t="str">
        <f t="shared" si="13"/>
        <v>23th</v>
      </c>
      <c r="L22" s="24">
        <f t="shared" si="2"/>
        <v>0</v>
      </c>
      <c r="M22" s="33">
        <f t="shared" si="3"/>
        <v>0</v>
      </c>
      <c r="N22" s="34">
        <f t="shared" si="12"/>
        <v>0.25</v>
      </c>
      <c r="P22" s="23"/>
      <c r="Q22" s="22">
        <v>0.43156730042831509</v>
      </c>
      <c r="R22" s="22" t="s">
        <v>63</v>
      </c>
      <c r="S22" s="22" t="s">
        <v>16</v>
      </c>
      <c r="T22" s="22">
        <f t="shared" si="4"/>
        <v>10</v>
      </c>
      <c r="U22" s="22">
        <v>10</v>
      </c>
      <c r="V22" s="22">
        <f t="shared" si="5"/>
        <v>20</v>
      </c>
      <c r="W22" s="22">
        <f t="shared" si="6"/>
        <v>0</v>
      </c>
      <c r="X22" s="22">
        <v>0</v>
      </c>
      <c r="Y22" s="22">
        <f t="shared" si="7"/>
        <v>0</v>
      </c>
      <c r="Z22" s="22">
        <f t="shared" si="8"/>
        <v>0</v>
      </c>
      <c r="AA22" s="22">
        <v>0</v>
      </c>
      <c r="AB22" s="22">
        <f t="shared" si="9"/>
        <v>0</v>
      </c>
      <c r="AE22" s="22">
        <v>20</v>
      </c>
      <c r="AF22" s="22" t="s">
        <v>50</v>
      </c>
      <c r="AH22" s="22">
        <f t="shared" si="10"/>
        <v>8</v>
      </c>
      <c r="AI22" s="22">
        <f t="shared" si="11"/>
        <v>12</v>
      </c>
      <c r="AJ22" s="35">
        <v>12</v>
      </c>
      <c r="AP22" s="37" t="s">
        <v>72</v>
      </c>
      <c r="AQ22" s="22">
        <v>0.02</v>
      </c>
    </row>
    <row r="23" spans="2:43" x14ac:dyDescent="0.25">
      <c r="B23" s="42">
        <v>21</v>
      </c>
      <c r="C23" s="43" t="s">
        <v>13</v>
      </c>
      <c r="D23" s="24"/>
      <c r="G23" s="31">
        <f t="shared" ref="G23:G28" si="14">IFERROR(IF(SUM($L$3:$L$28)=1,0,VLOOKUP(I23,$AF$3:$AJ$28,5,0)),"NEW")</f>
        <v>0</v>
      </c>
      <c r="H23" s="50">
        <v>21</v>
      </c>
      <c r="I23" s="24" t="s">
        <v>15</v>
      </c>
      <c r="J23" s="28">
        <f>VLOOKUP(I23,$S$2:$U$54,3,0)</f>
        <v>0</v>
      </c>
      <c r="K23" s="32" t="str">
        <f t="shared" si="13"/>
        <v>22th</v>
      </c>
      <c r="L23" s="24">
        <f t="shared" si="2"/>
        <v>0</v>
      </c>
      <c r="M23" s="33">
        <f t="shared" si="3"/>
        <v>0</v>
      </c>
      <c r="N23" s="34">
        <f t="shared" si="12"/>
        <v>0.35</v>
      </c>
      <c r="P23" s="23"/>
      <c r="Q23" s="22">
        <v>0.41781853928758811</v>
      </c>
      <c r="R23" s="22" t="s">
        <v>13</v>
      </c>
      <c r="S23" s="22" t="s">
        <v>62</v>
      </c>
      <c r="T23" s="22" t="e">
        <f t="shared" si="4"/>
        <v>#N/A</v>
      </c>
      <c r="U23" s="22" t="e">
        <v>#N/A</v>
      </c>
      <c r="V23" s="22" t="e">
        <f t="shared" si="5"/>
        <v>#N/A</v>
      </c>
      <c r="W23" s="22" t="e">
        <f t="shared" si="6"/>
        <v>#N/A</v>
      </c>
      <c r="X23" s="22" t="e">
        <v>#N/A</v>
      </c>
      <c r="Y23" s="22" t="e">
        <f t="shared" si="7"/>
        <v>#N/A</v>
      </c>
      <c r="Z23" s="22" t="e">
        <f t="shared" si="8"/>
        <v>#N/A</v>
      </c>
      <c r="AA23" s="22" t="e">
        <v>#N/A</v>
      </c>
      <c r="AB23" s="22" t="e">
        <f t="shared" si="9"/>
        <v>#N/A</v>
      </c>
      <c r="AE23" s="22">
        <v>21</v>
      </c>
      <c r="AF23" s="22" t="s">
        <v>52</v>
      </c>
      <c r="AH23" s="22">
        <f t="shared" si="10"/>
        <v>25</v>
      </c>
      <c r="AI23" s="22">
        <f t="shared" si="11"/>
        <v>-4</v>
      </c>
      <c r="AJ23" s="35">
        <v>-4</v>
      </c>
      <c r="AP23" s="37" t="s">
        <v>24</v>
      </c>
      <c r="AQ23" s="22">
        <v>0.2</v>
      </c>
    </row>
    <row r="24" spans="2:43" x14ac:dyDescent="0.25">
      <c r="B24" s="42">
        <v>22</v>
      </c>
      <c r="C24" s="43" t="s">
        <v>15</v>
      </c>
      <c r="D24" s="24"/>
      <c r="G24" s="31">
        <f t="shared" si="14"/>
        <v>0</v>
      </c>
      <c r="H24" s="50">
        <v>22</v>
      </c>
      <c r="I24" s="24" t="s">
        <v>6</v>
      </c>
      <c r="J24" s="28">
        <f>VLOOKUP(I24,$S$2:$U$54,3,0)</f>
        <v>0</v>
      </c>
      <c r="K24" s="32" t="str">
        <f t="shared" si="13"/>
        <v>18th</v>
      </c>
      <c r="L24" s="24">
        <f t="shared" si="2"/>
        <v>0</v>
      </c>
      <c r="M24" s="33">
        <f t="shared" si="3"/>
        <v>0</v>
      </c>
      <c r="N24" s="34">
        <f t="shared" si="12"/>
        <v>0.34499999999999997</v>
      </c>
      <c r="P24" s="23"/>
      <c r="Q24" s="22">
        <v>0.41196443009976946</v>
      </c>
      <c r="R24" s="22" t="s">
        <v>15</v>
      </c>
      <c r="S24" s="22" t="s">
        <v>14</v>
      </c>
      <c r="T24" s="22" t="e">
        <f t="shared" si="4"/>
        <v>#N/A</v>
      </c>
      <c r="U24" s="22" t="e">
        <v>#N/A</v>
      </c>
      <c r="V24" s="22" t="e">
        <f t="shared" si="5"/>
        <v>#N/A</v>
      </c>
      <c r="W24" s="22" t="e">
        <f t="shared" si="6"/>
        <v>#N/A</v>
      </c>
      <c r="X24" s="22" t="e">
        <v>#N/A</v>
      </c>
      <c r="Y24" s="22" t="e">
        <f t="shared" si="7"/>
        <v>#N/A</v>
      </c>
      <c r="Z24" s="22" t="e">
        <f t="shared" si="8"/>
        <v>#N/A</v>
      </c>
      <c r="AA24" s="22" t="e">
        <v>#N/A</v>
      </c>
      <c r="AB24" s="22" t="e">
        <f t="shared" si="9"/>
        <v>#N/A</v>
      </c>
      <c r="AE24" s="22">
        <v>22</v>
      </c>
      <c r="AF24" s="22" t="s">
        <v>9</v>
      </c>
      <c r="AH24" s="22">
        <f t="shared" si="10"/>
        <v>9</v>
      </c>
      <c r="AI24" s="22">
        <f t="shared" si="11"/>
        <v>13</v>
      </c>
      <c r="AJ24" s="35">
        <v>13</v>
      </c>
      <c r="AP24" s="23" t="s">
        <v>11</v>
      </c>
      <c r="AQ24" s="22">
        <v>0.14000000000000001</v>
      </c>
    </row>
    <row r="25" spans="2:43" x14ac:dyDescent="0.25">
      <c r="B25" s="42">
        <v>23</v>
      </c>
      <c r="C25" s="43" t="s">
        <v>23</v>
      </c>
      <c r="D25" s="24"/>
      <c r="G25" s="31">
        <f t="shared" si="14"/>
        <v>0</v>
      </c>
      <c r="H25" s="50">
        <v>23</v>
      </c>
      <c r="I25" s="24" t="s">
        <v>5</v>
      </c>
      <c r="J25" s="28">
        <f>VLOOKUP(I25,$S$2:$U$54,3,0)</f>
        <v>0</v>
      </c>
      <c r="K25" s="32" t="str">
        <f>IFERROR(CONCATENATE(INDEX($B$3:$C$28,MATCH(I25,$C$3:$C$28,0),1),IF(INDEX($B$3:$C$28,MATCH(I25,$C$3:$C$28,0),1)=1,"st",IF(INDEX($B$3:$C$28,MATCH(I25,$C$3:$C$28,0),1)=2,"nd",IF(INDEX($B$3:$C$28,MATCH(I25,$C$3:$C$28,0),1)=3,"rd","th")))),"NEW")</f>
        <v>19th</v>
      </c>
      <c r="L25" s="24">
        <f t="shared" si="2"/>
        <v>0</v>
      </c>
      <c r="M25" s="33">
        <f t="shared" si="3"/>
        <v>0</v>
      </c>
      <c r="N25" s="34">
        <f t="shared" si="12"/>
        <v>0.3</v>
      </c>
      <c r="P25" s="23"/>
      <c r="Q25" s="22">
        <v>0.39957307764001093</v>
      </c>
      <c r="R25" s="22" t="s">
        <v>23</v>
      </c>
      <c r="S25" s="22" t="s">
        <v>13</v>
      </c>
      <c r="T25" s="22">
        <f t="shared" si="4"/>
        <v>0</v>
      </c>
      <c r="U25" s="22">
        <v>0</v>
      </c>
      <c r="V25" s="22">
        <f t="shared" si="5"/>
        <v>0</v>
      </c>
      <c r="W25" s="22">
        <f t="shared" si="6"/>
        <v>0</v>
      </c>
      <c r="X25" s="22">
        <v>0</v>
      </c>
      <c r="Y25" s="22">
        <f t="shared" si="7"/>
        <v>0</v>
      </c>
      <c r="Z25" s="22">
        <f t="shared" si="8"/>
        <v>0</v>
      </c>
      <c r="AA25" s="22">
        <v>0</v>
      </c>
      <c r="AB25" s="22">
        <f t="shared" si="9"/>
        <v>0</v>
      </c>
      <c r="AE25" s="22">
        <v>23</v>
      </c>
      <c r="AF25" s="22" t="s">
        <v>70</v>
      </c>
      <c r="AH25" s="22">
        <f t="shared" si="10"/>
        <v>15</v>
      </c>
      <c r="AI25" s="22">
        <f t="shared" si="11"/>
        <v>8</v>
      </c>
      <c r="AJ25" s="35">
        <v>8</v>
      </c>
      <c r="AP25" s="22" t="s">
        <v>51</v>
      </c>
      <c r="AQ25" s="22">
        <v>0.09</v>
      </c>
    </row>
    <row r="26" spans="2:43" x14ac:dyDescent="0.25">
      <c r="B26" s="42">
        <v>24</v>
      </c>
      <c r="C26" s="43" t="s">
        <v>54</v>
      </c>
      <c r="D26" s="24"/>
      <c r="G26" s="31">
        <f t="shared" si="14"/>
        <v>0</v>
      </c>
      <c r="H26" s="50">
        <v>24</v>
      </c>
      <c r="I26" s="36" t="s">
        <v>13</v>
      </c>
      <c r="J26" s="28">
        <f>VLOOKUP(I26,$S$2:$U$54,3,0)</f>
        <v>0</v>
      </c>
      <c r="K26" s="32" t="str">
        <f t="shared" si="13"/>
        <v>21th</v>
      </c>
      <c r="L26" s="24">
        <f t="shared" si="2"/>
        <v>0</v>
      </c>
      <c r="M26" s="33">
        <f t="shared" si="3"/>
        <v>0</v>
      </c>
      <c r="N26" s="34">
        <f t="shared" si="12"/>
        <v>0.33</v>
      </c>
      <c r="P26" s="23"/>
      <c r="Q26" s="22">
        <v>0.37384981498877545</v>
      </c>
      <c r="R26" s="22" t="s">
        <v>54</v>
      </c>
      <c r="S26" s="22" t="s">
        <v>8</v>
      </c>
      <c r="T26" s="22">
        <f t="shared" si="4"/>
        <v>43</v>
      </c>
      <c r="U26" s="22">
        <v>43</v>
      </c>
      <c r="V26" s="22">
        <f t="shared" si="5"/>
        <v>86</v>
      </c>
      <c r="W26" s="22">
        <f t="shared" si="6"/>
        <v>0</v>
      </c>
      <c r="X26" s="22">
        <v>0</v>
      </c>
      <c r="Y26" s="22">
        <f t="shared" si="7"/>
        <v>0</v>
      </c>
      <c r="Z26" s="22">
        <f t="shared" si="8"/>
        <v>1</v>
      </c>
      <c r="AA26" s="22">
        <v>1</v>
      </c>
      <c r="AB26" s="22">
        <f t="shared" si="9"/>
        <v>2</v>
      </c>
      <c r="AE26" s="22">
        <v>24</v>
      </c>
      <c r="AF26" s="22" t="s">
        <v>69</v>
      </c>
      <c r="AH26" s="22">
        <f t="shared" si="10"/>
        <v>26</v>
      </c>
      <c r="AI26" s="22">
        <f t="shared" si="11"/>
        <v>-2</v>
      </c>
      <c r="AJ26" s="35">
        <v>-2</v>
      </c>
      <c r="AP26" s="22" t="s">
        <v>20</v>
      </c>
      <c r="AQ26" s="22">
        <v>0.16</v>
      </c>
    </row>
    <row r="27" spans="2:43" x14ac:dyDescent="0.25">
      <c r="B27" s="42">
        <v>25</v>
      </c>
      <c r="C27" s="43" t="s">
        <v>69</v>
      </c>
      <c r="D27" s="24"/>
      <c r="G27" s="31">
        <f t="shared" si="14"/>
        <v>0</v>
      </c>
      <c r="H27" s="50">
        <v>25</v>
      </c>
      <c r="I27" s="36" t="s">
        <v>52</v>
      </c>
      <c r="J27" s="28">
        <f>VLOOKUP(I27,$S$2:$U$54,3,0)</f>
        <v>0</v>
      </c>
      <c r="K27" s="32" t="str">
        <f t="shared" si="13"/>
        <v>26th</v>
      </c>
      <c r="L27" s="24">
        <f t="shared" si="2"/>
        <v>0</v>
      </c>
      <c r="M27" s="33">
        <f t="shared" si="3"/>
        <v>0</v>
      </c>
      <c r="N27" s="34">
        <f t="shared" si="12"/>
        <v>0.15</v>
      </c>
      <c r="P27" s="23"/>
      <c r="Q27" s="22">
        <v>0.36317677145902849</v>
      </c>
      <c r="R27" s="22" t="s">
        <v>69</v>
      </c>
      <c r="S27" s="22" t="s">
        <v>67</v>
      </c>
      <c r="T27" s="22" t="e">
        <f t="shared" si="4"/>
        <v>#N/A</v>
      </c>
      <c r="U27" s="22" t="e">
        <v>#N/A</v>
      </c>
      <c r="V27" s="22" t="e">
        <f t="shared" si="5"/>
        <v>#N/A</v>
      </c>
      <c r="W27" s="22" t="e">
        <f t="shared" si="6"/>
        <v>#N/A</v>
      </c>
      <c r="X27" s="22" t="e">
        <v>#N/A</v>
      </c>
      <c r="Y27" s="22" t="e">
        <f t="shared" si="7"/>
        <v>#N/A</v>
      </c>
      <c r="Z27" s="22" t="e">
        <f t="shared" si="8"/>
        <v>#N/A</v>
      </c>
      <c r="AA27" s="22" t="e">
        <v>#N/A</v>
      </c>
      <c r="AB27" s="22" t="e">
        <f t="shared" si="9"/>
        <v>#N/A</v>
      </c>
      <c r="AE27" s="22">
        <v>25</v>
      </c>
      <c r="AF27" s="22" t="s">
        <v>22</v>
      </c>
      <c r="AH27" s="22">
        <f t="shared" si="10"/>
        <v>14</v>
      </c>
      <c r="AI27" s="22">
        <f t="shared" si="11"/>
        <v>11</v>
      </c>
      <c r="AJ27" s="35">
        <v>11</v>
      </c>
      <c r="AP27" s="23" t="s">
        <v>50</v>
      </c>
      <c r="AQ27" s="22">
        <v>0.15</v>
      </c>
    </row>
    <row r="28" spans="2:43" x14ac:dyDescent="0.25">
      <c r="B28" s="42">
        <v>26</v>
      </c>
      <c r="C28" s="43" t="s">
        <v>52</v>
      </c>
      <c r="D28" s="24"/>
      <c r="G28" s="31">
        <f t="shared" si="14"/>
        <v>0</v>
      </c>
      <c r="H28" s="50">
        <v>26</v>
      </c>
      <c r="I28" s="24" t="s">
        <v>69</v>
      </c>
      <c r="J28" s="28">
        <f>VLOOKUP(I28,$S$2:$U$54,3,0)</f>
        <v>0</v>
      </c>
      <c r="K28" s="32" t="str">
        <f t="shared" si="13"/>
        <v>25th</v>
      </c>
      <c r="L28" s="24">
        <f t="shared" si="2"/>
        <v>0</v>
      </c>
      <c r="M28" s="24">
        <f t="shared" si="3"/>
        <v>0</v>
      </c>
      <c r="N28" s="34">
        <f t="shared" si="12"/>
        <v>0.14000000000000001</v>
      </c>
      <c r="P28" s="23"/>
      <c r="Q28" s="22">
        <v>0.28555904788944098</v>
      </c>
      <c r="R28" s="22" t="s">
        <v>52</v>
      </c>
      <c r="S28" s="22" t="s">
        <v>60</v>
      </c>
      <c r="T28" s="22" t="e">
        <f t="shared" si="4"/>
        <v>#N/A</v>
      </c>
      <c r="U28" s="22" t="e">
        <v>#N/A</v>
      </c>
      <c r="V28" s="22" t="e">
        <f t="shared" si="5"/>
        <v>#N/A</v>
      </c>
      <c r="W28" s="22" t="e">
        <f t="shared" si="6"/>
        <v>#N/A</v>
      </c>
      <c r="X28" s="22" t="e">
        <v>#N/A</v>
      </c>
      <c r="Y28" s="22" t="e">
        <f t="shared" si="7"/>
        <v>#N/A</v>
      </c>
      <c r="Z28" s="22" t="e">
        <f t="shared" si="8"/>
        <v>#N/A</v>
      </c>
      <c r="AA28" s="22" t="e">
        <v>#N/A</v>
      </c>
      <c r="AB28" s="22" t="e">
        <f t="shared" si="9"/>
        <v>#N/A</v>
      </c>
      <c r="AE28" s="22">
        <v>26</v>
      </c>
      <c r="AF28" s="22" t="s">
        <v>18</v>
      </c>
      <c r="AH28" s="22">
        <f t="shared" si="10"/>
        <v>13</v>
      </c>
      <c r="AI28" s="22">
        <f t="shared" si="11"/>
        <v>13</v>
      </c>
      <c r="AJ28" s="35">
        <v>13</v>
      </c>
      <c r="AP28" s="23" t="s">
        <v>26</v>
      </c>
      <c r="AQ28" s="22">
        <v>0.13</v>
      </c>
    </row>
    <row r="29" spans="2:43" x14ac:dyDescent="0.25">
      <c r="B29" s="44"/>
      <c r="G29" s="45"/>
      <c r="H29" s="23"/>
      <c r="I29" s="46" t="s">
        <v>105</v>
      </c>
      <c r="J29" s="47"/>
      <c r="K29" s="48"/>
      <c r="L29" s="37"/>
      <c r="M29" s="37"/>
      <c r="N29" s="49"/>
      <c r="S29" s="23" t="s">
        <v>15</v>
      </c>
      <c r="T29" s="22">
        <f t="shared" si="4"/>
        <v>0</v>
      </c>
      <c r="U29" s="22">
        <v>0</v>
      </c>
      <c r="V29" s="22">
        <f t="shared" si="5"/>
        <v>0</v>
      </c>
      <c r="W29" s="22">
        <f t="shared" si="6"/>
        <v>0</v>
      </c>
      <c r="X29" s="22">
        <v>0</v>
      </c>
      <c r="Y29" s="22">
        <f t="shared" si="7"/>
        <v>0</v>
      </c>
      <c r="Z29" s="22">
        <f t="shared" si="8"/>
        <v>0</v>
      </c>
      <c r="AA29" s="22">
        <v>0</v>
      </c>
      <c r="AB29" s="22">
        <f t="shared" si="9"/>
        <v>0</v>
      </c>
      <c r="AP29" s="22" t="s">
        <v>17</v>
      </c>
      <c r="AQ29" s="22">
        <v>0.18</v>
      </c>
    </row>
    <row r="30" spans="2:43" x14ac:dyDescent="0.25">
      <c r="N30" s="23"/>
      <c r="S30" s="23" t="s">
        <v>50</v>
      </c>
      <c r="T30" s="22">
        <f t="shared" si="4"/>
        <v>18</v>
      </c>
      <c r="U30" s="22">
        <v>18</v>
      </c>
      <c r="V30" s="22">
        <f t="shared" si="5"/>
        <v>36</v>
      </c>
      <c r="W30" s="22">
        <f t="shared" si="6"/>
        <v>0</v>
      </c>
      <c r="X30" s="22">
        <v>0</v>
      </c>
      <c r="Y30" s="22">
        <f t="shared" si="7"/>
        <v>0</v>
      </c>
      <c r="Z30" s="22">
        <f t="shared" si="8"/>
        <v>0</v>
      </c>
      <c r="AA30" s="22">
        <v>0</v>
      </c>
      <c r="AB30" s="22">
        <f t="shared" si="9"/>
        <v>0</v>
      </c>
      <c r="AP30" s="23" t="s">
        <v>64</v>
      </c>
      <c r="AQ30" s="22">
        <v>0.2</v>
      </c>
    </row>
    <row r="31" spans="2:43" x14ac:dyDescent="0.25">
      <c r="S31" s="23" t="s">
        <v>5</v>
      </c>
      <c r="T31" s="22">
        <f t="shared" si="4"/>
        <v>0</v>
      </c>
      <c r="U31" s="22">
        <v>0</v>
      </c>
      <c r="V31" s="22">
        <f t="shared" si="5"/>
        <v>0</v>
      </c>
      <c r="W31" s="22">
        <f t="shared" si="6"/>
        <v>0</v>
      </c>
      <c r="X31" s="22">
        <v>0</v>
      </c>
      <c r="Y31" s="22">
        <f t="shared" si="7"/>
        <v>0</v>
      </c>
      <c r="Z31" s="22">
        <f t="shared" si="8"/>
        <v>0</v>
      </c>
      <c r="AA31" s="22">
        <v>0</v>
      </c>
      <c r="AB31" s="22">
        <f t="shared" si="9"/>
        <v>0</v>
      </c>
      <c r="AP31" s="23" t="s">
        <v>54</v>
      </c>
      <c r="AQ31" s="22">
        <v>0.35</v>
      </c>
    </row>
    <row r="32" spans="2:43" x14ac:dyDescent="0.25">
      <c r="S32" s="23" t="s">
        <v>69</v>
      </c>
      <c r="T32" s="22">
        <f t="shared" si="4"/>
        <v>0</v>
      </c>
      <c r="U32" s="22">
        <v>0</v>
      </c>
      <c r="V32" s="22">
        <f t="shared" si="5"/>
        <v>0</v>
      </c>
      <c r="W32" s="22">
        <f t="shared" si="6"/>
        <v>0</v>
      </c>
      <c r="X32" s="22">
        <v>0</v>
      </c>
      <c r="Y32" s="22">
        <f t="shared" si="7"/>
        <v>0</v>
      </c>
      <c r="Z32" s="22">
        <f t="shared" si="8"/>
        <v>0</v>
      </c>
      <c r="AA32" s="22">
        <v>0</v>
      </c>
      <c r="AB32" s="22">
        <f t="shared" si="9"/>
        <v>0</v>
      </c>
      <c r="AP32" s="37" t="s">
        <v>7</v>
      </c>
      <c r="AQ32" s="22">
        <v>0.28999999999999998</v>
      </c>
    </row>
    <row r="33" spans="19:43" x14ac:dyDescent="0.25">
      <c r="S33" s="37" t="s">
        <v>59</v>
      </c>
      <c r="T33" s="22">
        <f t="shared" si="4"/>
        <v>21</v>
      </c>
      <c r="U33" s="22">
        <v>21</v>
      </c>
      <c r="V33" s="22">
        <f t="shared" si="5"/>
        <v>42</v>
      </c>
      <c r="W33" s="22">
        <f t="shared" si="6"/>
        <v>0</v>
      </c>
      <c r="X33" s="22">
        <v>0</v>
      </c>
      <c r="Y33" s="22">
        <f t="shared" si="7"/>
        <v>0</v>
      </c>
      <c r="Z33" s="22">
        <f t="shared" si="8"/>
        <v>0</v>
      </c>
      <c r="AA33" s="22">
        <v>0</v>
      </c>
      <c r="AB33" s="22">
        <f t="shared" si="9"/>
        <v>0</v>
      </c>
      <c r="AP33" s="23" t="s">
        <v>6</v>
      </c>
      <c r="AQ33" s="22">
        <v>0.34499999999999997</v>
      </c>
    </row>
    <row r="34" spans="19:43" x14ac:dyDescent="0.25">
      <c r="S34" s="37" t="s">
        <v>58</v>
      </c>
      <c r="T34" s="22" t="e">
        <f t="shared" si="4"/>
        <v>#N/A</v>
      </c>
      <c r="U34" s="22" t="e">
        <v>#N/A</v>
      </c>
      <c r="V34" s="22" t="e">
        <f t="shared" si="5"/>
        <v>#N/A</v>
      </c>
      <c r="W34" s="22" t="e">
        <f t="shared" si="6"/>
        <v>#N/A</v>
      </c>
      <c r="X34" s="22" t="e">
        <v>#N/A</v>
      </c>
      <c r="Y34" s="22" t="e">
        <f t="shared" si="7"/>
        <v>#N/A</v>
      </c>
      <c r="Z34" s="22" t="e">
        <f t="shared" si="8"/>
        <v>#N/A</v>
      </c>
      <c r="AA34" s="22" t="e">
        <v>#N/A</v>
      </c>
      <c r="AB34" s="22" t="e">
        <f t="shared" si="9"/>
        <v>#N/A</v>
      </c>
      <c r="AP34" s="23" t="s">
        <v>74</v>
      </c>
      <c r="AQ34" s="22">
        <v>0.08</v>
      </c>
    </row>
    <row r="35" spans="19:43" x14ac:dyDescent="0.25">
      <c r="S35" s="23" t="s">
        <v>61</v>
      </c>
      <c r="T35" s="22" t="e">
        <f t="shared" si="4"/>
        <v>#N/A</v>
      </c>
      <c r="U35" s="22" t="e">
        <v>#N/A</v>
      </c>
      <c r="V35" s="22" t="e">
        <f t="shared" si="5"/>
        <v>#N/A</v>
      </c>
      <c r="W35" s="22" t="e">
        <f t="shared" si="6"/>
        <v>#N/A</v>
      </c>
      <c r="X35" s="22" t="e">
        <v>#N/A</v>
      </c>
      <c r="Y35" s="22" t="e">
        <f t="shared" si="7"/>
        <v>#N/A</v>
      </c>
      <c r="Z35" s="22" t="e">
        <f t="shared" si="8"/>
        <v>#N/A</v>
      </c>
      <c r="AA35" s="22" t="e">
        <v>#N/A</v>
      </c>
      <c r="AB35" s="22" t="e">
        <f t="shared" si="9"/>
        <v>#N/A</v>
      </c>
      <c r="AP35" s="22" t="s">
        <v>67</v>
      </c>
      <c r="AQ35" s="22">
        <v>0.03</v>
      </c>
    </row>
    <row r="36" spans="19:43" x14ac:dyDescent="0.25">
      <c r="S36" s="37" t="s">
        <v>55</v>
      </c>
      <c r="T36" s="22" t="e">
        <f t="shared" si="4"/>
        <v>#N/A</v>
      </c>
      <c r="U36" s="22" t="e">
        <v>#N/A</v>
      </c>
      <c r="V36" s="22" t="e">
        <f t="shared" si="5"/>
        <v>#N/A</v>
      </c>
      <c r="W36" s="22" t="e">
        <f t="shared" si="6"/>
        <v>#N/A</v>
      </c>
      <c r="X36" s="22" t="e">
        <v>#N/A</v>
      </c>
      <c r="Y36" s="22" t="e">
        <f t="shared" si="7"/>
        <v>#N/A</v>
      </c>
      <c r="Z36" s="22" t="e">
        <f t="shared" si="8"/>
        <v>#N/A</v>
      </c>
      <c r="AA36" s="22" t="e">
        <v>#N/A</v>
      </c>
      <c r="AB36" s="22" t="e">
        <f t="shared" si="9"/>
        <v>#N/A</v>
      </c>
      <c r="AP36" s="22" t="s">
        <v>10</v>
      </c>
      <c r="AQ36" s="22">
        <v>0.35499999999999998</v>
      </c>
    </row>
    <row r="37" spans="19:43" x14ac:dyDescent="0.25">
      <c r="S37" s="23" t="s">
        <v>25</v>
      </c>
      <c r="T37" s="22" t="e">
        <f t="shared" si="4"/>
        <v>#N/A</v>
      </c>
      <c r="U37" s="22" t="e">
        <v>#N/A</v>
      </c>
      <c r="V37" s="22" t="e">
        <f t="shared" si="5"/>
        <v>#N/A</v>
      </c>
      <c r="W37" s="22" t="e">
        <f t="shared" si="6"/>
        <v>#N/A</v>
      </c>
      <c r="X37" s="22" t="e">
        <v>#N/A</v>
      </c>
      <c r="Y37" s="22" t="e">
        <f t="shared" si="7"/>
        <v>#N/A</v>
      </c>
      <c r="Z37" s="22" t="e">
        <f t="shared" si="8"/>
        <v>#N/A</v>
      </c>
      <c r="AA37" s="22" t="e">
        <v>#N/A</v>
      </c>
      <c r="AB37" s="22" t="e">
        <f t="shared" si="9"/>
        <v>#N/A</v>
      </c>
      <c r="AP37" s="22" t="s">
        <v>14</v>
      </c>
      <c r="AQ37" s="22">
        <v>0.05</v>
      </c>
    </row>
    <row r="38" spans="19:43" x14ac:dyDescent="0.25">
      <c r="S38" s="37" t="s">
        <v>7</v>
      </c>
      <c r="T38" s="22">
        <f t="shared" si="4"/>
        <v>50</v>
      </c>
      <c r="U38" s="22">
        <v>50</v>
      </c>
      <c r="V38" s="22">
        <f t="shared" si="5"/>
        <v>100</v>
      </c>
      <c r="W38" s="22">
        <f t="shared" si="6"/>
        <v>1</v>
      </c>
      <c r="X38" s="22">
        <v>1</v>
      </c>
      <c r="Y38" s="22">
        <f t="shared" si="7"/>
        <v>2</v>
      </c>
      <c r="Z38" s="22">
        <f t="shared" si="8"/>
        <v>1</v>
      </c>
      <c r="AA38" s="22">
        <v>1</v>
      </c>
      <c r="AB38" s="22">
        <f t="shared" si="9"/>
        <v>2</v>
      </c>
      <c r="AP38" s="23" t="s">
        <v>56</v>
      </c>
      <c r="AQ38" s="22">
        <v>0.13</v>
      </c>
    </row>
    <row r="39" spans="19:43" x14ac:dyDescent="0.25">
      <c r="S39" s="23" t="s">
        <v>11</v>
      </c>
      <c r="T39" s="22" t="e">
        <f t="shared" si="4"/>
        <v>#N/A</v>
      </c>
      <c r="U39" s="22" t="e">
        <v>#N/A</v>
      </c>
      <c r="V39" s="22" t="e">
        <f t="shared" si="5"/>
        <v>#N/A</v>
      </c>
      <c r="W39" s="22" t="e">
        <f t="shared" si="6"/>
        <v>#N/A</v>
      </c>
      <c r="X39" s="22" t="e">
        <v>#N/A</v>
      </c>
      <c r="Y39" s="22" t="e">
        <f t="shared" si="7"/>
        <v>#N/A</v>
      </c>
      <c r="Z39" s="22" t="e">
        <f t="shared" si="8"/>
        <v>#N/A</v>
      </c>
      <c r="AA39" s="22" t="e">
        <v>#N/A</v>
      </c>
      <c r="AB39" s="22" t="e">
        <f t="shared" si="9"/>
        <v>#N/A</v>
      </c>
      <c r="AP39" s="22" t="s">
        <v>52</v>
      </c>
      <c r="AQ39" s="22">
        <v>0.15</v>
      </c>
    </row>
    <row r="40" spans="19:43" x14ac:dyDescent="0.25">
      <c r="S40" s="37" t="s">
        <v>24</v>
      </c>
      <c r="T40" s="22" t="e">
        <f t="shared" si="4"/>
        <v>#N/A</v>
      </c>
      <c r="U40" s="22" t="e">
        <v>#N/A</v>
      </c>
      <c r="V40" s="22" t="e">
        <f t="shared" si="5"/>
        <v>#N/A</v>
      </c>
      <c r="W40" s="22" t="e">
        <f t="shared" si="6"/>
        <v>#N/A</v>
      </c>
      <c r="X40" s="22" t="e">
        <v>#N/A</v>
      </c>
      <c r="Y40" s="22" t="e">
        <f t="shared" si="7"/>
        <v>#N/A</v>
      </c>
      <c r="Z40" s="22" t="e">
        <f t="shared" si="8"/>
        <v>#N/A</v>
      </c>
      <c r="AA40" s="22" t="e">
        <v>#N/A</v>
      </c>
      <c r="AB40" s="22" t="e">
        <f t="shared" si="9"/>
        <v>#N/A</v>
      </c>
      <c r="AP40" s="22" t="s">
        <v>4</v>
      </c>
      <c r="AQ40" s="22">
        <v>0.28000000000000003</v>
      </c>
    </row>
    <row r="41" spans="19:43" x14ac:dyDescent="0.25">
      <c r="S41" s="23" t="s">
        <v>27</v>
      </c>
      <c r="T41" s="22">
        <f t="shared" si="4"/>
        <v>1</v>
      </c>
      <c r="U41" s="22">
        <v>1</v>
      </c>
      <c r="V41" s="22">
        <f t="shared" si="5"/>
        <v>2</v>
      </c>
      <c r="W41" s="22">
        <f t="shared" si="6"/>
        <v>0</v>
      </c>
      <c r="X41" s="22">
        <v>0</v>
      </c>
      <c r="Y41" s="22">
        <f t="shared" si="7"/>
        <v>0</v>
      </c>
      <c r="Z41" s="22">
        <f t="shared" si="8"/>
        <v>0</v>
      </c>
      <c r="AA41" s="22">
        <v>0</v>
      </c>
      <c r="AB41" s="22">
        <f t="shared" si="9"/>
        <v>0</v>
      </c>
      <c r="AP41" s="23" t="s">
        <v>53</v>
      </c>
      <c r="AQ41" s="22">
        <v>0.17</v>
      </c>
    </row>
    <row r="42" spans="19:43" x14ac:dyDescent="0.25">
      <c r="S42" s="23" t="s">
        <v>74</v>
      </c>
      <c r="T42" s="22" t="e">
        <f t="shared" si="4"/>
        <v>#N/A</v>
      </c>
      <c r="U42" s="22" t="e">
        <v>#N/A</v>
      </c>
      <c r="V42" s="22" t="e">
        <f t="shared" si="5"/>
        <v>#N/A</v>
      </c>
      <c r="W42" s="22" t="e">
        <f t="shared" si="6"/>
        <v>#N/A</v>
      </c>
      <c r="X42" s="22" t="e">
        <v>#N/A</v>
      </c>
      <c r="Y42" s="22" t="e">
        <f t="shared" si="7"/>
        <v>#N/A</v>
      </c>
      <c r="Z42" s="22" t="e">
        <f t="shared" si="8"/>
        <v>#N/A</v>
      </c>
      <c r="AA42" s="22" t="e">
        <v>#N/A</v>
      </c>
      <c r="AB42" s="22" t="e">
        <f t="shared" si="9"/>
        <v>#N/A</v>
      </c>
      <c r="AP42" s="23" t="s">
        <v>19</v>
      </c>
      <c r="AQ42" s="22">
        <v>0.14000000000000001</v>
      </c>
    </row>
    <row r="43" spans="19:43" x14ac:dyDescent="0.25">
      <c r="S43" s="37" t="s">
        <v>68</v>
      </c>
      <c r="T43" s="22" t="e">
        <f t="shared" si="4"/>
        <v>#N/A</v>
      </c>
      <c r="U43" s="22" t="e">
        <v>#N/A</v>
      </c>
      <c r="V43" s="22" t="e">
        <f t="shared" si="5"/>
        <v>#N/A</v>
      </c>
      <c r="W43" s="22" t="e">
        <f t="shared" si="6"/>
        <v>#N/A</v>
      </c>
      <c r="X43" s="22" t="e">
        <v>#N/A</v>
      </c>
      <c r="Y43" s="22" t="e">
        <f t="shared" si="7"/>
        <v>#N/A</v>
      </c>
      <c r="Z43" s="22" t="e">
        <f t="shared" si="8"/>
        <v>#N/A</v>
      </c>
      <c r="AA43" s="22" t="e">
        <v>#N/A</v>
      </c>
      <c r="AB43" s="22" t="e">
        <f t="shared" si="9"/>
        <v>#N/A</v>
      </c>
      <c r="AP43" s="22" t="s">
        <v>63</v>
      </c>
      <c r="AQ43" s="22">
        <v>0.28499999999999998</v>
      </c>
    </row>
    <row r="44" spans="19:43" x14ac:dyDescent="0.25">
      <c r="S44" s="23" t="s">
        <v>6</v>
      </c>
      <c r="T44" s="22">
        <f t="shared" si="4"/>
        <v>0</v>
      </c>
      <c r="U44" s="22">
        <v>0</v>
      </c>
      <c r="V44" s="22">
        <f t="shared" si="5"/>
        <v>0</v>
      </c>
      <c r="W44" s="22">
        <f t="shared" si="6"/>
        <v>0</v>
      </c>
      <c r="X44" s="22">
        <v>0</v>
      </c>
      <c r="Y44" s="22">
        <f t="shared" si="7"/>
        <v>0</v>
      </c>
      <c r="Z44" s="22">
        <f t="shared" si="8"/>
        <v>0</v>
      </c>
      <c r="AA44" s="22">
        <v>0</v>
      </c>
      <c r="AB44" s="22">
        <f t="shared" si="9"/>
        <v>0</v>
      </c>
      <c r="AP44" s="22" t="s">
        <v>12</v>
      </c>
      <c r="AQ44" s="22">
        <v>0.37</v>
      </c>
    </row>
    <row r="45" spans="19:43" x14ac:dyDescent="0.25">
      <c r="S45" s="23" t="s">
        <v>57</v>
      </c>
      <c r="T45" s="22" t="e">
        <f t="shared" si="4"/>
        <v>#N/A</v>
      </c>
      <c r="U45" s="22" t="e">
        <v>#N/A</v>
      </c>
      <c r="V45" s="22" t="e">
        <f t="shared" si="5"/>
        <v>#N/A</v>
      </c>
      <c r="W45" s="22" t="e">
        <f t="shared" si="6"/>
        <v>#N/A</v>
      </c>
      <c r="X45" s="22" t="e">
        <v>#N/A</v>
      </c>
      <c r="Y45" s="22" t="e">
        <f t="shared" si="7"/>
        <v>#N/A</v>
      </c>
      <c r="Z45" s="22" t="e">
        <f t="shared" si="8"/>
        <v>#N/A</v>
      </c>
      <c r="AA45" s="22" t="e">
        <v>#N/A</v>
      </c>
      <c r="AB45" s="22" t="e">
        <f t="shared" si="9"/>
        <v>#N/A</v>
      </c>
      <c r="AP45" s="23" t="s">
        <v>65</v>
      </c>
      <c r="AQ45" s="22">
        <v>0.13</v>
      </c>
    </row>
    <row r="46" spans="19:43" x14ac:dyDescent="0.25">
      <c r="S46" s="23" t="s">
        <v>19</v>
      </c>
      <c r="T46" s="22" t="e">
        <f t="shared" si="4"/>
        <v>#N/A</v>
      </c>
      <c r="U46" s="22" t="e">
        <v>#N/A</v>
      </c>
      <c r="V46" s="22" t="e">
        <f t="shared" si="5"/>
        <v>#N/A</v>
      </c>
      <c r="W46" s="22" t="e">
        <f t="shared" si="6"/>
        <v>#N/A</v>
      </c>
      <c r="X46" s="22" t="e">
        <v>#N/A</v>
      </c>
      <c r="Y46" s="22" t="e">
        <f t="shared" si="7"/>
        <v>#N/A</v>
      </c>
      <c r="Z46" s="22" t="e">
        <f t="shared" si="8"/>
        <v>#N/A</v>
      </c>
      <c r="AA46" s="22" t="e">
        <v>#N/A</v>
      </c>
      <c r="AB46" s="22" t="e">
        <f t="shared" si="9"/>
        <v>#N/A</v>
      </c>
      <c r="AP46" s="37" t="s">
        <v>55</v>
      </c>
      <c r="AQ46" s="22">
        <v>0.08</v>
      </c>
    </row>
    <row r="47" spans="19:43" x14ac:dyDescent="0.25">
      <c r="S47" s="23" t="s">
        <v>56</v>
      </c>
      <c r="T47" s="22" t="e">
        <f t="shared" si="4"/>
        <v>#N/A</v>
      </c>
      <c r="U47" s="22" t="e">
        <v>#N/A</v>
      </c>
      <c r="V47" s="22" t="e">
        <f t="shared" si="5"/>
        <v>#N/A</v>
      </c>
      <c r="W47" s="22" t="e">
        <f t="shared" si="6"/>
        <v>#N/A</v>
      </c>
      <c r="X47" s="22" t="e">
        <v>#N/A</v>
      </c>
      <c r="Y47" s="22" t="e">
        <f t="shared" si="7"/>
        <v>#N/A</v>
      </c>
      <c r="Z47" s="22" t="e">
        <f t="shared" si="8"/>
        <v>#N/A</v>
      </c>
      <c r="AA47" s="22" t="e">
        <v>#N/A</v>
      </c>
      <c r="AB47" s="22" t="e">
        <f t="shared" si="9"/>
        <v>#N/A</v>
      </c>
      <c r="AP47" s="37" t="s">
        <v>59</v>
      </c>
      <c r="AQ47" s="22">
        <v>0.26</v>
      </c>
    </row>
    <row r="48" spans="19:43" x14ac:dyDescent="0.25">
      <c r="S48" s="23" t="s">
        <v>54</v>
      </c>
      <c r="T48" s="22">
        <f t="shared" si="4"/>
        <v>0</v>
      </c>
      <c r="U48" s="22">
        <v>0</v>
      </c>
      <c r="V48" s="22">
        <f t="shared" si="5"/>
        <v>0</v>
      </c>
      <c r="W48" s="22">
        <f t="shared" si="6"/>
        <v>0</v>
      </c>
      <c r="X48" s="22">
        <v>0</v>
      </c>
      <c r="Y48" s="22">
        <f t="shared" si="7"/>
        <v>0</v>
      </c>
      <c r="Z48" s="22">
        <f t="shared" si="8"/>
        <v>0</v>
      </c>
      <c r="AA48" s="22">
        <v>0</v>
      </c>
      <c r="AB48" s="22">
        <f t="shared" si="9"/>
        <v>0</v>
      </c>
      <c r="AP48" s="23" t="s">
        <v>61</v>
      </c>
      <c r="AQ48" s="22">
        <v>0.1</v>
      </c>
    </row>
    <row r="49" spans="19:43" x14ac:dyDescent="0.25">
      <c r="S49" s="23" t="s">
        <v>26</v>
      </c>
      <c r="T49" s="22" t="e">
        <f t="shared" si="4"/>
        <v>#N/A</v>
      </c>
      <c r="U49" s="22" t="e">
        <v>#N/A</v>
      </c>
      <c r="V49" s="22" t="e">
        <f t="shared" si="5"/>
        <v>#N/A</v>
      </c>
      <c r="W49" s="22" t="e">
        <f t="shared" si="6"/>
        <v>#N/A</v>
      </c>
      <c r="X49" s="22" t="e">
        <v>#N/A</v>
      </c>
      <c r="Y49" s="22" t="e">
        <f t="shared" si="7"/>
        <v>#N/A</v>
      </c>
      <c r="Z49" s="22" t="e">
        <f t="shared" si="8"/>
        <v>#N/A</v>
      </c>
      <c r="AA49" s="22" t="e">
        <v>#N/A</v>
      </c>
      <c r="AB49" s="22" t="e">
        <f t="shared" si="9"/>
        <v>#N/A</v>
      </c>
      <c r="AP49" s="23" t="s">
        <v>71</v>
      </c>
      <c r="AQ49" s="22">
        <v>0.14000000000000001</v>
      </c>
    </row>
    <row r="50" spans="19:43" x14ac:dyDescent="0.25">
      <c r="S50" s="23" t="s">
        <v>64</v>
      </c>
      <c r="T50" s="22">
        <f t="shared" si="4"/>
        <v>8</v>
      </c>
      <c r="U50" s="22">
        <v>8</v>
      </c>
      <c r="V50" s="22">
        <f t="shared" si="5"/>
        <v>16</v>
      </c>
      <c r="W50" s="22">
        <f t="shared" si="6"/>
        <v>0</v>
      </c>
      <c r="X50" s="22">
        <v>0</v>
      </c>
      <c r="Y50" s="22">
        <f t="shared" si="7"/>
        <v>0</v>
      </c>
      <c r="Z50" s="22">
        <f t="shared" si="8"/>
        <v>0</v>
      </c>
      <c r="AA50" s="22">
        <v>0</v>
      </c>
      <c r="AB50" s="22">
        <f t="shared" si="9"/>
        <v>0</v>
      </c>
      <c r="AP50" s="22" t="s">
        <v>62</v>
      </c>
      <c r="AQ50" s="22">
        <v>0.13</v>
      </c>
    </row>
    <row r="51" spans="19:43" x14ac:dyDescent="0.25">
      <c r="S51" s="23" t="s">
        <v>65</v>
      </c>
      <c r="T51" s="22" t="e">
        <f t="shared" si="4"/>
        <v>#N/A</v>
      </c>
      <c r="U51" s="22" t="e">
        <v>#N/A</v>
      </c>
      <c r="V51" s="22" t="e">
        <f t="shared" si="5"/>
        <v>#N/A</v>
      </c>
      <c r="W51" s="22" t="e">
        <f t="shared" si="6"/>
        <v>#N/A</v>
      </c>
      <c r="X51" s="22" t="e">
        <v>#N/A</v>
      </c>
      <c r="Y51" s="22" t="e">
        <f t="shared" si="7"/>
        <v>#N/A</v>
      </c>
      <c r="Z51" s="22" t="e">
        <f t="shared" si="8"/>
        <v>#N/A</v>
      </c>
      <c r="AA51" s="22" t="e">
        <v>#N/A</v>
      </c>
      <c r="AB51" s="22" t="e">
        <f t="shared" si="9"/>
        <v>#N/A</v>
      </c>
      <c r="AP51" s="22" t="s">
        <v>13</v>
      </c>
      <c r="AQ51" s="22">
        <v>0.33</v>
      </c>
    </row>
    <row r="52" spans="19:43" x14ac:dyDescent="0.25">
      <c r="S52" s="37" t="s">
        <v>72</v>
      </c>
      <c r="T52" s="22" t="e">
        <f t="shared" si="4"/>
        <v>#N/A</v>
      </c>
      <c r="U52" s="22" t="e">
        <v>#N/A</v>
      </c>
      <c r="V52" s="22" t="e">
        <f t="shared" si="5"/>
        <v>#N/A</v>
      </c>
      <c r="W52" s="22" t="e">
        <f t="shared" si="6"/>
        <v>#N/A</v>
      </c>
      <c r="X52" s="22" t="e">
        <v>#N/A</v>
      </c>
      <c r="Y52" s="22" t="e">
        <f t="shared" si="7"/>
        <v>#N/A</v>
      </c>
      <c r="Z52" s="22" t="e">
        <f t="shared" si="8"/>
        <v>#N/A</v>
      </c>
      <c r="AA52" s="22" t="e">
        <v>#N/A</v>
      </c>
      <c r="AB52" s="22" t="e">
        <f t="shared" si="9"/>
        <v>#N/A</v>
      </c>
      <c r="AP52" s="22" t="s">
        <v>16</v>
      </c>
      <c r="AQ52" s="22">
        <v>0.35</v>
      </c>
    </row>
    <row r="53" spans="19:43" x14ac:dyDescent="0.25">
      <c r="S53" s="23" t="s">
        <v>53</v>
      </c>
      <c r="T53" s="22" t="e">
        <f t="shared" si="4"/>
        <v>#N/A</v>
      </c>
      <c r="U53" s="22" t="e">
        <v>#N/A</v>
      </c>
      <c r="V53" s="22" t="e">
        <f t="shared" si="5"/>
        <v>#N/A</v>
      </c>
      <c r="W53" s="22" t="e">
        <f t="shared" si="6"/>
        <v>#N/A</v>
      </c>
      <c r="X53" s="22" t="e">
        <v>#N/A</v>
      </c>
      <c r="Y53" s="22" t="e">
        <f t="shared" si="7"/>
        <v>#N/A</v>
      </c>
      <c r="Z53" s="22" t="e">
        <f t="shared" si="8"/>
        <v>#N/A</v>
      </c>
      <c r="AA53" s="22" t="e">
        <v>#N/A</v>
      </c>
      <c r="AB53" s="22" t="e">
        <f t="shared" si="9"/>
        <v>#N/A</v>
      </c>
      <c r="AP53" s="22" t="s">
        <v>66</v>
      </c>
      <c r="AQ53" s="22">
        <v>0.17</v>
      </c>
    </row>
    <row r="54" spans="19:43" x14ac:dyDescent="0.25">
      <c r="S54" s="23" t="s">
        <v>71</v>
      </c>
      <c r="T54" s="22" t="e">
        <f t="shared" si="4"/>
        <v>#N/A</v>
      </c>
      <c r="U54" s="22" t="e">
        <v>#N/A</v>
      </c>
      <c r="V54" s="22" t="e">
        <f t="shared" si="5"/>
        <v>#N/A</v>
      </c>
      <c r="W54" s="22" t="e">
        <f t="shared" si="6"/>
        <v>#N/A</v>
      </c>
      <c r="X54" s="22" t="e">
        <v>#N/A</v>
      </c>
      <c r="Y54" s="22" t="e">
        <f t="shared" si="7"/>
        <v>#N/A</v>
      </c>
      <c r="Z54" s="22" t="e">
        <f t="shared" si="8"/>
        <v>#N/A</v>
      </c>
      <c r="AA54" s="22" t="e">
        <v>#N/A</v>
      </c>
      <c r="AB54" s="22" t="e">
        <f t="shared" si="9"/>
        <v>#N/A</v>
      </c>
      <c r="AP54" s="22" t="s">
        <v>3</v>
      </c>
      <c r="AQ54" s="22">
        <v>0.23</v>
      </c>
    </row>
  </sheetData>
  <sortState xmlns:xlrd2="http://schemas.microsoft.com/office/spreadsheetml/2017/richdata2" ref="I3:J28">
    <sortCondition descending="1" ref="J3"/>
  </sortState>
  <mergeCells count="1">
    <mergeCell ref="E10:F10"/>
  </mergeCells>
  <conditionalFormatting sqref="I3:J29">
    <cfRule type="top10" dxfId="50" priority="208" bottom="1" rank="3"/>
    <cfRule type="top10" dxfId="49" priority="209" bottom="1" rank="7"/>
  </conditionalFormatting>
  <conditionalFormatting sqref="C3 I3:I29">
    <cfRule type="duplicateValues" dxfId="48" priority="206"/>
  </conditionalFormatting>
  <conditionalFormatting sqref="C4 I3:I29">
    <cfRule type="duplicateValues" dxfId="47" priority="205"/>
  </conditionalFormatting>
  <conditionalFormatting sqref="C5 I3:I29">
    <cfRule type="duplicateValues" dxfId="46" priority="204"/>
  </conditionalFormatting>
  <conditionalFormatting sqref="C19:C28 I3:I29">
    <cfRule type="duplicateValues" dxfId="45" priority="203"/>
  </conditionalFormatting>
  <conditionalFormatting sqref="G3:G29">
    <cfRule type="cellIs" dxfId="44" priority="198" operator="greaterThan">
      <formula>0</formula>
    </cfRule>
    <cfRule type="cellIs" dxfId="43" priority="199" operator="equal">
      <formula>0</formula>
    </cfRule>
  </conditionalFormatting>
  <conditionalFormatting sqref="G2:G29">
    <cfRule type="cellIs" dxfId="42" priority="200" operator="lessThan">
      <formula>0</formula>
    </cfRule>
  </conditionalFormatting>
  <conditionalFormatting sqref="S29:S54">
    <cfRule type="top10" dxfId="41" priority="196" bottom="1" rank="3"/>
    <cfRule type="top10" dxfId="40" priority="197" bottom="1" rank="7"/>
  </conditionalFormatting>
  <conditionalFormatting sqref="S29:S54">
    <cfRule type="duplicateValues" dxfId="39" priority="195"/>
  </conditionalFormatting>
  <conditionalFormatting sqref="S29:S54">
    <cfRule type="duplicateValues" dxfId="38" priority="194"/>
  </conditionalFormatting>
  <conditionalFormatting sqref="S29:S54">
    <cfRule type="duplicateValues" dxfId="37" priority="193"/>
  </conditionalFormatting>
  <conditionalFormatting sqref="S29:S54">
    <cfRule type="duplicateValues" dxfId="36" priority="192"/>
  </conditionalFormatting>
  <conditionalFormatting sqref="AP29:AP54">
    <cfRule type="top10" dxfId="35" priority="179" bottom="1" rank="3"/>
    <cfRule type="top10" dxfId="34" priority="180" bottom="1" rank="7"/>
  </conditionalFormatting>
  <conditionalFormatting sqref="AP29:AP54">
    <cfRule type="duplicateValues" dxfId="33" priority="178"/>
  </conditionalFormatting>
  <conditionalFormatting sqref="AP29:AP54">
    <cfRule type="duplicateValues" dxfId="32" priority="177"/>
  </conditionalFormatting>
  <conditionalFormatting sqref="AP29:AP54">
    <cfRule type="duplicateValues" dxfId="31" priority="176"/>
  </conditionalFormatting>
  <conditionalFormatting sqref="AP29:AP54">
    <cfRule type="duplicateValues" dxfId="30" priority="175"/>
  </conditionalFormatting>
  <conditionalFormatting sqref="AM3:AM6">
    <cfRule type="duplicateValues" dxfId="29" priority="174"/>
  </conditionalFormatting>
  <conditionalFormatting sqref="AM7:AM10">
    <cfRule type="duplicateValues" dxfId="28" priority="173"/>
  </conditionalFormatting>
  <conditionalFormatting sqref="E17:F17 I3:I28">
    <cfRule type="duplicateValues" dxfId="27" priority="111"/>
  </conditionalFormatting>
  <conditionalFormatting sqref="O9:O12">
    <cfRule type="duplicateValues" dxfId="26" priority="2"/>
  </conditionalFormatting>
  <conditionalFormatting sqref="O13:O16">
    <cfRule type="duplicateValues" dxfId="25" priority="1"/>
  </conditionalFormatting>
  <dataValidations count="2">
    <dataValidation type="list" allowBlank="1" showInputMessage="1" showErrorMessage="1" sqref="E17" xr:uid="{00000000-0002-0000-0200-000000000000}">
      <formula1>$I$3:$I$29</formula1>
    </dataValidation>
    <dataValidation type="list" allowBlank="1" showInputMessage="1" showErrorMessage="1" sqref="AR11" xr:uid="{00000000-0002-0000-0200-000001000000}">
      <formula1>"Yes, 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coring">
                <anchor moveWithCells="1" sizeWithCells="1">
                  <from>
                    <xdr:col>4</xdr:col>
                    <xdr:colOff>114300</xdr:colOff>
                    <xdr:row>2</xdr:row>
                    <xdr:rowOff>114300</xdr:rowOff>
                  </from>
                  <to>
                    <xdr:col>5</xdr:col>
                    <xdr:colOff>866775</xdr:colOff>
                    <xdr:row>5</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NewSeason">
                <anchor moveWithCells="1" sizeWithCells="1">
                  <from>
                    <xdr:col>4</xdr:col>
                    <xdr:colOff>390525</xdr:colOff>
                    <xdr:row>5</xdr:row>
                    <xdr:rowOff>133350</xdr:rowOff>
                  </from>
                  <to>
                    <xdr:col>5</xdr:col>
                    <xdr:colOff>581025</xdr:colOff>
                    <xdr:row>8</xdr:row>
                    <xdr:rowOff>76200</xdr:rowOff>
                  </to>
                </anchor>
              </controlPr>
            </control>
          </mc:Choice>
        </mc:AlternateContent>
        <mc:AlternateContent xmlns:mc="http://schemas.openxmlformats.org/markup-compatibility/2006">
          <mc:Choice Requires="x14">
            <control shapeId="1027" r:id="rId6" name="Button 3">
              <controlPr defaultSize="0" print="0" autoFill="0" autoPict="0" macro="[0]!RelegateTeams">
                <anchor moveWithCells="1" sizeWithCells="1">
                  <from>
                    <xdr:col>4</xdr:col>
                    <xdr:colOff>323850</xdr:colOff>
                    <xdr:row>10</xdr:row>
                    <xdr:rowOff>95250</xdr:rowOff>
                  </from>
                  <to>
                    <xdr:col>5</xdr:col>
                    <xdr:colOff>590550</xdr:colOff>
                    <xdr:row>13</xdr:row>
                    <xdr:rowOff>133350</xdr:rowOff>
                  </to>
                </anchor>
              </controlPr>
            </control>
          </mc:Choice>
        </mc:AlternateContent>
        <mc:AlternateContent xmlns:mc="http://schemas.openxmlformats.org/markup-compatibility/2006">
          <mc:Choice Requires="x14">
            <control shapeId="1029" r:id="rId7" name="Button 5">
              <controlPr defaultSize="0" print="0" autoFill="0" autoPict="0" macro="[0]!StopMusic">
                <anchor moveWithCells="1" sizeWithCells="1">
                  <from>
                    <xdr:col>0</xdr:col>
                    <xdr:colOff>133350</xdr:colOff>
                    <xdr:row>28</xdr:row>
                    <xdr:rowOff>76200</xdr:rowOff>
                  </from>
                  <to>
                    <xdr:col>2</xdr:col>
                    <xdr:colOff>819150</xdr:colOff>
                    <xdr:row>30</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01" id="{4F205709-950A-4A1B-8775-A90C1B93F2CE}">
            <x14:iconSet iconSet="3Triangles">
              <x14:cfvo type="percent">
                <xm:f>0</xm:f>
              </x14:cfvo>
              <x14:cfvo type="num">
                <xm:f>0</xm:f>
              </x14:cfvo>
              <x14:cfvo type="num">
                <xm:f>1</xm:f>
              </x14:cfvo>
            </x14:iconSet>
          </x14:cfRule>
          <xm:sqref>G3:G29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Q54"/>
  <sheetViews>
    <sheetView zoomScale="92" workbookViewId="0">
      <selection activeCell="AJ3" sqref="AJ3:AJ28"/>
    </sheetView>
  </sheetViews>
  <sheetFormatPr defaultRowHeight="15" x14ac:dyDescent="0.25"/>
  <cols>
    <col min="2" max="2" width="7.28515625" customWidth="1"/>
    <col min="3" max="3" width="25.28515625" customWidth="1"/>
    <col min="5" max="5" width="14.28515625" customWidth="1"/>
    <col min="6" max="6" width="15.28515625" customWidth="1"/>
    <col min="7" max="7" width="6" customWidth="1"/>
    <col min="8" max="8" width="4.5703125" customWidth="1"/>
    <col min="9" max="9" width="18.85546875" customWidth="1"/>
    <col min="10" max="10" width="6.7109375" customWidth="1"/>
    <col min="11" max="11" width="8.85546875" customWidth="1"/>
    <col min="12" max="12" width="5.28515625" customWidth="1"/>
    <col min="13" max="13" width="8.28515625" customWidth="1"/>
    <col min="14" max="14" width="8.85546875" customWidth="1"/>
    <col min="15" max="15" width="19.28515625" customWidth="1"/>
    <col min="16" max="16" width="8.85546875" customWidth="1"/>
    <col min="17" max="41" width="8.42578125" hidden="1" customWidth="1"/>
    <col min="42" max="42" width="18" hidden="1" customWidth="1"/>
    <col min="43" max="43" width="8.85546875" hidden="1" customWidth="1"/>
    <col min="44" max="45" width="8.85546875" customWidth="1"/>
  </cols>
  <sheetData>
    <row r="1" spans="1:43" x14ac:dyDescent="0.25">
      <c r="A1" t="s">
        <v>41</v>
      </c>
      <c r="C1" t="s">
        <v>39</v>
      </c>
      <c r="I1" t="s">
        <v>40</v>
      </c>
      <c r="L1" s="3"/>
      <c r="M1" s="3"/>
    </row>
    <row r="2" spans="1:43" x14ac:dyDescent="0.25">
      <c r="B2" s="1" t="s">
        <v>0</v>
      </c>
      <c r="C2" s="1" t="s">
        <v>1</v>
      </c>
      <c r="D2" s="1" t="s">
        <v>2</v>
      </c>
      <c r="G2" s="13" t="s">
        <v>43</v>
      </c>
      <c r="H2" s="10" t="s">
        <v>42</v>
      </c>
      <c r="I2" s="11" t="s">
        <v>1</v>
      </c>
      <c r="J2" s="11" t="s">
        <v>2</v>
      </c>
      <c r="K2" s="12" t="s">
        <v>44</v>
      </c>
      <c r="L2" s="12" t="s">
        <v>35</v>
      </c>
      <c r="M2" s="12" t="s">
        <v>37</v>
      </c>
      <c r="N2" s="3"/>
      <c r="O2" s="3"/>
      <c r="P2" s="3"/>
      <c r="T2" t="s">
        <v>30</v>
      </c>
      <c r="U2" t="s">
        <v>29</v>
      </c>
      <c r="V2" t="s">
        <v>31</v>
      </c>
      <c r="W2" t="s">
        <v>32</v>
      </c>
      <c r="X2" t="s">
        <v>33</v>
      </c>
      <c r="Y2" t="s">
        <v>34</v>
      </c>
      <c r="Z2" t="s">
        <v>36</v>
      </c>
      <c r="AA2" t="s">
        <v>37</v>
      </c>
      <c r="AB2" t="s">
        <v>38</v>
      </c>
      <c r="AE2" t="s">
        <v>48</v>
      </c>
      <c r="AH2" t="s">
        <v>47</v>
      </c>
      <c r="AI2" t="s">
        <v>46</v>
      </c>
      <c r="AJ2" t="s">
        <v>45</v>
      </c>
    </row>
    <row r="3" spans="1:43" x14ac:dyDescent="0.25">
      <c r="B3" s="11">
        <v>1</v>
      </c>
      <c r="C3" s="4" t="s">
        <v>71</v>
      </c>
      <c r="D3" s="1">
        <v>50</v>
      </c>
      <c r="G3" s="7">
        <f>IFERROR(IF(SUM($L$3:$L$28)=1,0,VLOOKUP(I3,$AF$3:$AJ$28,5,0)),"NEW")</f>
        <v>2</v>
      </c>
      <c r="H3" s="8">
        <v>1</v>
      </c>
      <c r="I3" s="63" t="s">
        <v>71</v>
      </c>
      <c r="J3" s="2">
        <f>VLOOKUP(I3,$S$2:$U$54,3,0)</f>
        <v>189</v>
      </c>
      <c r="K3" s="5" t="str">
        <f>IFERROR(CONCATENATE(INDEX($B$3:$C$28,MATCH(I3,$C$3:$C$28,0),1),IF(INDEX($B$3:$C$28,MATCH(I3,$C$3:$C$28,0),1)=1,"st",IF(INDEX($B$3:$C$28,MATCH(I3,$C$3:$C$28,0),1)=2,"nd",IF(INDEX($B$3:$C$28,MATCH(I3,$C$3:$C$28,0),1)=3,"rd","th")))),"NEW")</f>
        <v>1st</v>
      </c>
      <c r="L3" s="1">
        <f>VLOOKUP(I3,$S$3:$Y$54,6,0)</f>
        <v>2</v>
      </c>
      <c r="M3" s="1">
        <f>VLOOKUP(I3,$S$3:$AB$54,9,0)</f>
        <v>2</v>
      </c>
      <c r="N3" s="3">
        <f>VLOOKUP(I3,$AP$3:$AQ$54,2,0)</f>
        <v>0.14000000000000001</v>
      </c>
      <c r="O3" s="15"/>
      <c r="P3" s="3"/>
      <c r="Q3">
        <v>1.1007871931998126</v>
      </c>
      <c r="R3" t="s">
        <v>71</v>
      </c>
      <c r="S3" t="s">
        <v>21</v>
      </c>
      <c r="T3">
        <f>VLOOKUP(S3,$C$3:$D$28,2,0)</f>
        <v>10</v>
      </c>
      <c r="U3">
        <v>153</v>
      </c>
      <c r="V3">
        <f>U3+T3</f>
        <v>163</v>
      </c>
      <c r="W3">
        <f>IF(VLOOKUP(S3,$C$3:$D$28,2,0)=50,1,0)</f>
        <v>0</v>
      </c>
      <c r="X3">
        <v>1</v>
      </c>
      <c r="Y3">
        <f>X3+W3</f>
        <v>1</v>
      </c>
      <c r="Z3">
        <f>IF(VLOOKUP(S3,$C$3:$D$28,2,0)&gt;35,1,0)</f>
        <v>0</v>
      </c>
      <c r="AA3">
        <v>2</v>
      </c>
      <c r="AB3">
        <f>Z3+AA3</f>
        <v>2</v>
      </c>
      <c r="AE3">
        <v>1</v>
      </c>
      <c r="AF3" t="s">
        <v>65</v>
      </c>
      <c r="AH3">
        <f>INDEX($H$3:$I$28,MATCH(AF3,$I$3:$I$28,0),1)</f>
        <v>2</v>
      </c>
      <c r="AI3">
        <f>-(AH3-AE3)</f>
        <v>-1</v>
      </c>
      <c r="AJ3" s="6">
        <v>-1</v>
      </c>
      <c r="AL3">
        <v>0.95537352992003521</v>
      </c>
      <c r="AM3" t="s">
        <v>57</v>
      </c>
      <c r="AP3" s="3" t="s">
        <v>27</v>
      </c>
      <c r="AQ3">
        <v>0.22</v>
      </c>
    </row>
    <row r="4" spans="1:43" x14ac:dyDescent="0.25">
      <c r="B4" s="11">
        <v>2</v>
      </c>
      <c r="C4" s="1" t="s">
        <v>19</v>
      </c>
      <c r="D4" s="1">
        <v>43</v>
      </c>
      <c r="G4" s="7">
        <f t="shared" ref="G4:G9" si="0">IFERROR(IF(SUM($L$3:$L$28)=1,0,VLOOKUP(I4,$AF$3:$AJ$28,5,0)),"NEW")</f>
        <v>-1</v>
      </c>
      <c r="H4" s="9">
        <v>2</v>
      </c>
      <c r="I4" s="1" t="s">
        <v>65</v>
      </c>
      <c r="J4" s="2">
        <f>VLOOKUP(I4,$S$2:$U$54,3,0)</f>
        <v>154</v>
      </c>
      <c r="K4" s="5" t="str">
        <f t="shared" ref="K4:K9" si="1">IFERROR(CONCATENATE(INDEX($B$3:$C$28,MATCH(I4,$C$3:$C$28,0),1),IF(INDEX($B$3:$C$28,MATCH(I4,$C$3:$C$28,0),1)=1,"st",IF(INDEX($B$3:$C$28,MATCH(I4,$C$3:$C$28,0),1)=2,"nd",IF(INDEX($B$3:$C$28,MATCH(I4,$C$3:$C$28,0),1)=3,"rd","th")))),"NEW")</f>
        <v>25th</v>
      </c>
      <c r="L4" s="1">
        <f t="shared" ref="L4:L28" si="2">VLOOKUP(I4,$S$3:$Y$54,6,0)</f>
        <v>1</v>
      </c>
      <c r="M4" s="1">
        <f t="shared" ref="M4:M28" si="3">VLOOKUP(I4,$S$3:$AB$54,9,0)</f>
        <v>3</v>
      </c>
      <c r="N4" s="3">
        <f t="shared" ref="N4:N28" si="4">VLOOKUP(I4,$AP$3:$AQ$54,2,0)</f>
        <v>0.13</v>
      </c>
      <c r="O4" s="3"/>
      <c r="P4" s="3"/>
      <c r="Q4">
        <v>1.0830587239811269</v>
      </c>
      <c r="R4" t="s">
        <v>19</v>
      </c>
      <c r="S4" t="s">
        <v>49</v>
      </c>
      <c r="T4">
        <f t="shared" ref="T4:T54" si="5">VLOOKUP(S4,$C$3:$D$28,2,0)</f>
        <v>0</v>
      </c>
      <c r="U4">
        <v>56</v>
      </c>
      <c r="V4">
        <f t="shared" ref="V4:V54" si="6">U4+T4</f>
        <v>56</v>
      </c>
      <c r="W4">
        <f t="shared" ref="W4:W54" si="7">IF(VLOOKUP(S4,$C$3:$D$28,2,0)=50,1,0)</f>
        <v>0</v>
      </c>
      <c r="X4">
        <v>0</v>
      </c>
      <c r="Y4">
        <f t="shared" ref="Y4:Y54" si="8">X4+W4</f>
        <v>0</v>
      </c>
      <c r="Z4">
        <f t="shared" ref="Z4:Z54" si="9">IF(VLOOKUP(S4,$C$3:$D$28,2,0)&gt;35,1,0)</f>
        <v>0</v>
      </c>
      <c r="AA4">
        <v>1</v>
      </c>
      <c r="AB4">
        <f t="shared" ref="AB4:AB54" si="10">Z4+AA4</f>
        <v>1</v>
      </c>
      <c r="AE4">
        <v>2</v>
      </c>
      <c r="AF4" t="s">
        <v>21</v>
      </c>
      <c r="AH4">
        <f t="shared" ref="AH4:AH28" si="11">INDEX($H$3:$I$28,MATCH(AF4,$I$3:$I$28,0),1)</f>
        <v>3</v>
      </c>
      <c r="AI4">
        <f t="shared" ref="AI4:AI28" si="12">-(AH4-AE4)</f>
        <v>-1</v>
      </c>
      <c r="AJ4" s="6">
        <v>-1</v>
      </c>
      <c r="AL4">
        <v>0.9129597614041004</v>
      </c>
      <c r="AM4" t="s">
        <v>28</v>
      </c>
      <c r="AP4" t="s">
        <v>8</v>
      </c>
      <c r="AQ4">
        <v>0.27</v>
      </c>
    </row>
    <row r="5" spans="1:43" x14ac:dyDescent="0.25">
      <c r="B5" s="11">
        <v>3</v>
      </c>
      <c r="C5" s="1" t="s">
        <v>25</v>
      </c>
      <c r="D5" s="1">
        <v>36</v>
      </c>
      <c r="G5" s="7">
        <f t="shared" si="0"/>
        <v>-1</v>
      </c>
      <c r="H5" s="8">
        <v>3</v>
      </c>
      <c r="I5" s="2" t="s">
        <v>21</v>
      </c>
      <c r="J5" s="2">
        <f>VLOOKUP(I5,$S$2:$U$54,3,0)</f>
        <v>153</v>
      </c>
      <c r="K5" s="5" t="str">
        <f t="shared" si="1"/>
        <v>11th</v>
      </c>
      <c r="L5" s="1">
        <f t="shared" si="2"/>
        <v>1</v>
      </c>
      <c r="M5" s="1">
        <f t="shared" si="3"/>
        <v>2</v>
      </c>
      <c r="N5" s="3">
        <f t="shared" si="4"/>
        <v>0.12</v>
      </c>
      <c r="O5" s="3"/>
      <c r="P5" s="3"/>
      <c r="Q5">
        <v>1.0309879684033989</v>
      </c>
      <c r="R5" t="s">
        <v>25</v>
      </c>
      <c r="S5" t="s">
        <v>51</v>
      </c>
      <c r="T5">
        <f t="shared" si="5"/>
        <v>0</v>
      </c>
      <c r="U5">
        <v>67</v>
      </c>
      <c r="V5">
        <f t="shared" si="6"/>
        <v>67</v>
      </c>
      <c r="W5">
        <f t="shared" si="7"/>
        <v>0</v>
      </c>
      <c r="X5">
        <v>0</v>
      </c>
      <c r="Y5">
        <f t="shared" si="8"/>
        <v>0</v>
      </c>
      <c r="Z5">
        <f t="shared" si="9"/>
        <v>0</v>
      </c>
      <c r="AA5">
        <v>1</v>
      </c>
      <c r="AB5">
        <f t="shared" si="10"/>
        <v>1</v>
      </c>
      <c r="AE5">
        <v>3</v>
      </c>
      <c r="AF5" t="s">
        <v>71</v>
      </c>
      <c r="AH5">
        <f t="shared" si="11"/>
        <v>1</v>
      </c>
      <c r="AI5">
        <f t="shared" si="12"/>
        <v>2</v>
      </c>
      <c r="AJ5" s="6">
        <v>2</v>
      </c>
      <c r="AL5">
        <v>0.9124008286207691</v>
      </c>
      <c r="AM5" t="s">
        <v>3</v>
      </c>
      <c r="AP5" t="s">
        <v>28</v>
      </c>
      <c r="AQ5">
        <v>0.15</v>
      </c>
    </row>
    <row r="6" spans="1:43" x14ac:dyDescent="0.25">
      <c r="B6" s="11">
        <v>4</v>
      </c>
      <c r="C6" s="1" t="s">
        <v>58</v>
      </c>
      <c r="D6" s="1">
        <v>31</v>
      </c>
      <c r="G6" s="7">
        <f t="shared" si="0"/>
        <v>0</v>
      </c>
      <c r="H6" s="8">
        <v>4</v>
      </c>
      <c r="I6" s="1" t="s">
        <v>24</v>
      </c>
      <c r="J6" s="2">
        <f>VLOOKUP(I6,$S$2:$U$54,3,0)</f>
        <v>127</v>
      </c>
      <c r="K6" s="5" t="str">
        <f t="shared" si="1"/>
        <v>14th</v>
      </c>
      <c r="L6" s="1">
        <f t="shared" si="2"/>
        <v>1</v>
      </c>
      <c r="M6" s="1">
        <f t="shared" si="3"/>
        <v>1</v>
      </c>
      <c r="N6" s="3">
        <f t="shared" si="4"/>
        <v>0.2</v>
      </c>
      <c r="O6" s="3"/>
      <c r="P6" s="3"/>
      <c r="Q6">
        <v>1.0288864544145213</v>
      </c>
      <c r="R6" t="s">
        <v>58</v>
      </c>
      <c r="S6" t="s">
        <v>28</v>
      </c>
      <c r="T6">
        <f t="shared" si="5"/>
        <v>15</v>
      </c>
      <c r="U6">
        <v>58</v>
      </c>
      <c r="V6">
        <f t="shared" si="6"/>
        <v>73</v>
      </c>
      <c r="W6">
        <f t="shared" si="7"/>
        <v>0</v>
      </c>
      <c r="X6">
        <v>0</v>
      </c>
      <c r="Y6">
        <f t="shared" si="8"/>
        <v>0</v>
      </c>
      <c r="Z6">
        <f t="shared" si="9"/>
        <v>0</v>
      </c>
      <c r="AA6">
        <v>0</v>
      </c>
      <c r="AB6">
        <f t="shared" si="10"/>
        <v>0</v>
      </c>
      <c r="AE6">
        <v>4</v>
      </c>
      <c r="AF6" t="s">
        <v>24</v>
      </c>
      <c r="AH6">
        <f t="shared" si="11"/>
        <v>4</v>
      </c>
      <c r="AI6">
        <f t="shared" si="12"/>
        <v>0</v>
      </c>
      <c r="AJ6" s="6">
        <v>0</v>
      </c>
      <c r="AL6">
        <v>0.60335483531076328</v>
      </c>
      <c r="AM6" t="s">
        <v>53</v>
      </c>
      <c r="AP6" t="s">
        <v>60</v>
      </c>
      <c r="AQ6">
        <v>0.1</v>
      </c>
    </row>
    <row r="7" spans="1:43" x14ac:dyDescent="0.25">
      <c r="B7" s="11">
        <v>5</v>
      </c>
      <c r="C7" s="1" t="s">
        <v>60</v>
      </c>
      <c r="D7" s="1">
        <v>27</v>
      </c>
      <c r="G7" s="7">
        <f t="shared" si="0"/>
        <v>4</v>
      </c>
      <c r="H7" s="8">
        <v>5</v>
      </c>
      <c r="I7" s="1" t="s">
        <v>25</v>
      </c>
      <c r="J7" s="2">
        <f>VLOOKUP(I7,$S$2:$U$54,3,0)</f>
        <v>115</v>
      </c>
      <c r="K7" s="5" t="str">
        <f t="shared" si="1"/>
        <v>3rd</v>
      </c>
      <c r="L7" s="1">
        <f t="shared" si="2"/>
        <v>0</v>
      </c>
      <c r="M7" s="1">
        <f t="shared" si="3"/>
        <v>1</v>
      </c>
      <c r="N7" s="3">
        <f t="shared" si="4"/>
        <v>0.05</v>
      </c>
      <c r="O7" s="3"/>
      <c r="P7" s="3"/>
      <c r="Q7">
        <v>1.0251408528407604</v>
      </c>
      <c r="R7" t="s">
        <v>60</v>
      </c>
      <c r="S7" t="s">
        <v>23</v>
      </c>
      <c r="T7" t="e">
        <f t="shared" si="5"/>
        <v>#N/A</v>
      </c>
      <c r="U7" t="e">
        <v>#N/A</v>
      </c>
      <c r="V7" t="e">
        <f t="shared" si="6"/>
        <v>#N/A</v>
      </c>
      <c r="W7" t="e">
        <f t="shared" si="7"/>
        <v>#N/A</v>
      </c>
      <c r="X7" t="e">
        <v>#N/A</v>
      </c>
      <c r="Y7" t="e">
        <f t="shared" si="8"/>
        <v>#N/A</v>
      </c>
      <c r="Z7" t="e">
        <f t="shared" si="9"/>
        <v>#N/A</v>
      </c>
      <c r="AA7" t="e">
        <v>#N/A</v>
      </c>
      <c r="AB7" t="e">
        <f t="shared" si="10"/>
        <v>#N/A</v>
      </c>
      <c r="AE7">
        <v>5</v>
      </c>
      <c r="AF7" t="s">
        <v>20</v>
      </c>
      <c r="AH7">
        <f t="shared" si="11"/>
        <v>6</v>
      </c>
      <c r="AI7">
        <f t="shared" si="12"/>
        <v>-1</v>
      </c>
      <c r="AJ7" s="6">
        <v>-1</v>
      </c>
      <c r="AL7">
        <v>0.5277577298661974</v>
      </c>
      <c r="AM7" t="s">
        <v>69</v>
      </c>
      <c r="AP7" t="s">
        <v>70</v>
      </c>
      <c r="AQ7">
        <v>0.13</v>
      </c>
    </row>
    <row r="8" spans="1:43" x14ac:dyDescent="0.25">
      <c r="B8" s="11">
        <v>6</v>
      </c>
      <c r="C8" s="1" t="s">
        <v>53</v>
      </c>
      <c r="D8" s="1">
        <v>24</v>
      </c>
      <c r="G8" s="7">
        <f t="shared" si="0"/>
        <v>-1</v>
      </c>
      <c r="H8" s="8">
        <v>6</v>
      </c>
      <c r="I8" s="1" t="s">
        <v>20</v>
      </c>
      <c r="J8" s="2">
        <f>VLOOKUP(I8,$S$2:$U$54,3,0)</f>
        <v>111</v>
      </c>
      <c r="K8" s="5" t="str">
        <f t="shared" si="1"/>
        <v>15th</v>
      </c>
      <c r="L8" s="1">
        <f t="shared" si="2"/>
        <v>0</v>
      </c>
      <c r="M8" s="1">
        <f t="shared" si="3"/>
        <v>2</v>
      </c>
      <c r="N8" s="3">
        <f t="shared" si="4"/>
        <v>0.16</v>
      </c>
      <c r="O8" s="15"/>
      <c r="P8" s="3"/>
      <c r="Q8">
        <v>1.0229071945621468</v>
      </c>
      <c r="R8" t="s">
        <v>53</v>
      </c>
      <c r="S8" t="s">
        <v>52</v>
      </c>
      <c r="T8" t="e">
        <f t="shared" si="5"/>
        <v>#N/A</v>
      </c>
      <c r="U8" t="e">
        <v>#N/A</v>
      </c>
      <c r="V8" t="e">
        <f t="shared" si="6"/>
        <v>#N/A</v>
      </c>
      <c r="W8" t="e">
        <f t="shared" si="7"/>
        <v>#N/A</v>
      </c>
      <c r="X8" t="e">
        <v>#N/A</v>
      </c>
      <c r="Y8" t="e">
        <f t="shared" si="8"/>
        <v>#N/A</v>
      </c>
      <c r="Z8" t="e">
        <f t="shared" si="9"/>
        <v>#N/A</v>
      </c>
      <c r="AA8" t="e">
        <v>#N/A</v>
      </c>
      <c r="AB8" t="e">
        <f t="shared" si="10"/>
        <v>#N/A</v>
      </c>
      <c r="AE8">
        <v>6</v>
      </c>
      <c r="AF8" t="s">
        <v>57</v>
      </c>
      <c r="AH8">
        <f t="shared" si="11"/>
        <v>10</v>
      </c>
      <c r="AI8">
        <f t="shared" si="12"/>
        <v>-4</v>
      </c>
      <c r="AJ8" s="6">
        <v>-4</v>
      </c>
      <c r="AL8">
        <v>0.52085062454853326</v>
      </c>
      <c r="AM8" t="s">
        <v>10</v>
      </c>
      <c r="AP8" s="3" t="s">
        <v>15</v>
      </c>
      <c r="AQ8">
        <v>0.35</v>
      </c>
    </row>
    <row r="9" spans="1:43" x14ac:dyDescent="0.25">
      <c r="B9" s="11">
        <v>7</v>
      </c>
      <c r="C9" s="1" t="s">
        <v>56</v>
      </c>
      <c r="D9" s="1">
        <v>21</v>
      </c>
      <c r="G9" s="7">
        <f t="shared" si="0"/>
        <v>0</v>
      </c>
      <c r="H9" s="8">
        <v>7</v>
      </c>
      <c r="I9" s="1" t="s">
        <v>56</v>
      </c>
      <c r="J9" s="2">
        <f>VLOOKUP(I9,$S$2:$U$54,3,0)</f>
        <v>110</v>
      </c>
      <c r="K9" s="5" t="str">
        <f t="shared" si="1"/>
        <v>7th</v>
      </c>
      <c r="L9" s="1">
        <f t="shared" si="2"/>
        <v>1</v>
      </c>
      <c r="M9" s="1">
        <f t="shared" si="3"/>
        <v>1</v>
      </c>
      <c r="N9" s="3">
        <f t="shared" si="4"/>
        <v>0.13</v>
      </c>
      <c r="O9" s="3"/>
      <c r="P9" s="3"/>
      <c r="Q9">
        <v>1.0079427494867148</v>
      </c>
      <c r="R9" t="s">
        <v>56</v>
      </c>
      <c r="S9" t="s">
        <v>9</v>
      </c>
      <c r="T9" t="e">
        <f t="shared" si="5"/>
        <v>#N/A</v>
      </c>
      <c r="U9" t="e">
        <v>#N/A</v>
      </c>
      <c r="V9" t="e">
        <f t="shared" si="6"/>
        <v>#N/A</v>
      </c>
      <c r="W9" t="e">
        <f t="shared" si="7"/>
        <v>#N/A</v>
      </c>
      <c r="X9" t="e">
        <v>#N/A</v>
      </c>
      <c r="Y9" t="e">
        <f t="shared" si="8"/>
        <v>#N/A</v>
      </c>
      <c r="Z9" t="e">
        <f t="shared" si="9"/>
        <v>#N/A</v>
      </c>
      <c r="AA9" t="e">
        <v>#N/A</v>
      </c>
      <c r="AB9" t="e">
        <f t="shared" si="10"/>
        <v>#N/A</v>
      </c>
      <c r="AE9">
        <v>7</v>
      </c>
      <c r="AF9" t="s">
        <v>56</v>
      </c>
      <c r="AH9">
        <f t="shared" si="11"/>
        <v>7</v>
      </c>
      <c r="AI9">
        <f t="shared" si="12"/>
        <v>0</v>
      </c>
      <c r="AJ9" s="6">
        <v>0</v>
      </c>
      <c r="AL9">
        <v>0.20528562576599241</v>
      </c>
      <c r="AM9" t="s">
        <v>49</v>
      </c>
      <c r="AP9" t="s">
        <v>23</v>
      </c>
      <c r="AQ9">
        <v>0.25</v>
      </c>
    </row>
    <row r="10" spans="1:43" x14ac:dyDescent="0.25">
      <c r="B10" s="11">
        <v>8</v>
      </c>
      <c r="C10" s="1" t="s">
        <v>73</v>
      </c>
      <c r="D10" s="1">
        <v>18</v>
      </c>
      <c r="E10" s="61" t="str">
        <f>IF(ISNA(SUM(L3:L28)),"New Season",CONCATENATE("Standings After ",SUM(L3:L28)," Race",IF(SUM(L3:L28)=1,"","s")))</f>
        <v>Standings After 7 Races</v>
      </c>
      <c r="F10" s="62"/>
      <c r="G10" s="7">
        <f t="shared" ref="G10:G28" si="13">IF(SUM($L$3:$L$28)=1,0,VLOOKUP(I10,$AF$3:$AJ$28,5,0))</f>
        <v>0</v>
      </c>
      <c r="H10" s="8">
        <v>8</v>
      </c>
      <c r="I10" s="2" t="s">
        <v>73</v>
      </c>
      <c r="J10" s="2">
        <f>VLOOKUP(I10,$S$2:$U$54,3,0)</f>
        <v>99</v>
      </c>
      <c r="K10" s="5" t="str">
        <f t="shared" ref="K10:K28" si="14">CONCATENATE(INDEX($B$3:$C$28,MATCH(I10,$C$3:$C$28,0),1),IF(INDEX($B$3:$C$28,MATCH(I10,$C$3:$C$28,0),1)=1,"st",IF(INDEX($B$3:$C$28,MATCH(I10,$C$3:$C$28,0),1)=2,"nd",IF(INDEX($B$3:$C$28,MATCH(I10,$C$3:$C$28,0),1)=3,"rd","th"))))</f>
        <v>8th</v>
      </c>
      <c r="L10" s="1">
        <f t="shared" si="2"/>
        <v>0</v>
      </c>
      <c r="M10" s="1">
        <f t="shared" si="3"/>
        <v>0</v>
      </c>
      <c r="N10" s="3">
        <f t="shared" si="4"/>
        <v>0.15</v>
      </c>
      <c r="O10" s="3"/>
      <c r="P10" s="3"/>
      <c r="Q10">
        <v>0.96580019350235302</v>
      </c>
      <c r="R10" t="s">
        <v>73</v>
      </c>
      <c r="S10" t="s">
        <v>20</v>
      </c>
      <c r="T10">
        <f t="shared" si="5"/>
        <v>2</v>
      </c>
      <c r="U10">
        <v>111</v>
      </c>
      <c r="V10">
        <f t="shared" si="6"/>
        <v>113</v>
      </c>
      <c r="W10">
        <f t="shared" si="7"/>
        <v>0</v>
      </c>
      <c r="X10">
        <v>0</v>
      </c>
      <c r="Y10">
        <f t="shared" si="8"/>
        <v>0</v>
      </c>
      <c r="Z10">
        <f t="shared" si="9"/>
        <v>0</v>
      </c>
      <c r="AA10">
        <v>2</v>
      </c>
      <c r="AB10">
        <f t="shared" si="10"/>
        <v>2</v>
      </c>
      <c r="AE10">
        <v>8</v>
      </c>
      <c r="AF10" t="s">
        <v>73</v>
      </c>
      <c r="AH10">
        <f t="shared" si="11"/>
        <v>8</v>
      </c>
      <c r="AI10">
        <f t="shared" si="12"/>
        <v>0</v>
      </c>
      <c r="AJ10" s="6">
        <v>0</v>
      </c>
      <c r="AL10">
        <v>0.18286166225386757</v>
      </c>
      <c r="AM10" t="s">
        <v>22</v>
      </c>
      <c r="AP10" s="14" t="s">
        <v>58</v>
      </c>
      <c r="AQ10">
        <v>0.05</v>
      </c>
    </row>
    <row r="11" spans="1:43" x14ac:dyDescent="0.25">
      <c r="B11" s="11">
        <v>9</v>
      </c>
      <c r="C11" s="1" t="s">
        <v>28</v>
      </c>
      <c r="D11" s="1">
        <v>15</v>
      </c>
      <c r="G11" s="7">
        <f t="shared" si="13"/>
        <v>9</v>
      </c>
      <c r="H11" s="8">
        <v>9</v>
      </c>
      <c r="I11" s="1" t="s">
        <v>19</v>
      </c>
      <c r="J11" s="2">
        <f>VLOOKUP(I11,$S$2:$U$54,3,0)</f>
        <v>93</v>
      </c>
      <c r="K11" s="5" t="str">
        <f t="shared" si="14"/>
        <v>2nd</v>
      </c>
      <c r="L11" s="1">
        <f t="shared" si="2"/>
        <v>0</v>
      </c>
      <c r="M11" s="1">
        <f t="shared" si="3"/>
        <v>2</v>
      </c>
      <c r="N11" s="3">
        <f t="shared" si="4"/>
        <v>0.14000000000000001</v>
      </c>
      <c r="O11" s="3"/>
      <c r="P11" s="3"/>
      <c r="Q11">
        <v>0.93950226663652081</v>
      </c>
      <c r="R11" t="s">
        <v>28</v>
      </c>
      <c r="S11" t="s">
        <v>3</v>
      </c>
      <c r="T11" t="e">
        <f t="shared" si="5"/>
        <v>#N/A</v>
      </c>
      <c r="U11" t="e">
        <v>#N/A</v>
      </c>
      <c r="V11" t="e">
        <f t="shared" si="6"/>
        <v>#N/A</v>
      </c>
      <c r="W11" t="e">
        <f t="shared" si="7"/>
        <v>#N/A</v>
      </c>
      <c r="X11" t="e">
        <v>#N/A</v>
      </c>
      <c r="Y11" t="e">
        <f t="shared" si="8"/>
        <v>#N/A</v>
      </c>
      <c r="Z11" t="e">
        <f t="shared" si="9"/>
        <v>#N/A</v>
      </c>
      <c r="AA11" t="e">
        <v>#N/A</v>
      </c>
      <c r="AB11" t="e">
        <f t="shared" si="10"/>
        <v>#N/A</v>
      </c>
      <c r="AE11">
        <v>9</v>
      </c>
      <c r="AF11" t="s">
        <v>25</v>
      </c>
      <c r="AH11">
        <f t="shared" si="11"/>
        <v>5</v>
      </c>
      <c r="AI11">
        <f t="shared" si="12"/>
        <v>4</v>
      </c>
      <c r="AJ11" s="6">
        <v>4</v>
      </c>
      <c r="AP11" t="s">
        <v>18</v>
      </c>
      <c r="AQ11">
        <v>0.1</v>
      </c>
    </row>
    <row r="12" spans="1:43" x14ac:dyDescent="0.25">
      <c r="B12" s="11">
        <v>10</v>
      </c>
      <c r="C12" s="1" t="s">
        <v>72</v>
      </c>
      <c r="D12" s="1">
        <v>12</v>
      </c>
      <c r="G12" s="7">
        <f t="shared" si="13"/>
        <v>-4</v>
      </c>
      <c r="H12" s="8">
        <v>10</v>
      </c>
      <c r="I12" s="1" t="s">
        <v>57</v>
      </c>
      <c r="J12" s="2">
        <f>VLOOKUP(I12,$S$2:$U$54,3,0)</f>
        <v>91</v>
      </c>
      <c r="K12" s="5" t="str">
        <f t="shared" si="14"/>
        <v>18th</v>
      </c>
      <c r="L12" s="1">
        <f t="shared" si="2"/>
        <v>0</v>
      </c>
      <c r="M12" s="1">
        <f t="shared" si="3"/>
        <v>1</v>
      </c>
      <c r="N12" s="3">
        <f t="shared" si="4"/>
        <v>0.06</v>
      </c>
      <c r="O12" s="3"/>
      <c r="P12" s="3"/>
      <c r="Q12">
        <v>0.92177289554999209</v>
      </c>
      <c r="R12" t="s">
        <v>72</v>
      </c>
      <c r="S12" t="s">
        <v>73</v>
      </c>
      <c r="T12">
        <f t="shared" si="5"/>
        <v>18</v>
      </c>
      <c r="U12">
        <v>99</v>
      </c>
      <c r="V12">
        <f t="shared" si="6"/>
        <v>117</v>
      </c>
      <c r="W12">
        <f t="shared" si="7"/>
        <v>0</v>
      </c>
      <c r="X12">
        <v>0</v>
      </c>
      <c r="Y12">
        <f t="shared" si="8"/>
        <v>0</v>
      </c>
      <c r="Z12">
        <f t="shared" si="9"/>
        <v>0</v>
      </c>
      <c r="AA12">
        <v>0</v>
      </c>
      <c r="AB12">
        <f t="shared" si="10"/>
        <v>0</v>
      </c>
      <c r="AE12">
        <v>10</v>
      </c>
      <c r="AF12" t="s">
        <v>74</v>
      </c>
      <c r="AH12">
        <f t="shared" si="11"/>
        <v>13</v>
      </c>
      <c r="AI12">
        <f t="shared" si="12"/>
        <v>-3</v>
      </c>
      <c r="AJ12" s="6">
        <v>-3</v>
      </c>
      <c r="AP12" s="14" t="s">
        <v>68</v>
      </c>
      <c r="AQ12">
        <v>0.09</v>
      </c>
    </row>
    <row r="13" spans="1:43" x14ac:dyDescent="0.25">
      <c r="B13" s="11">
        <v>11</v>
      </c>
      <c r="C13" s="1" t="s">
        <v>21</v>
      </c>
      <c r="D13" s="1">
        <v>10</v>
      </c>
      <c r="G13" s="7">
        <f t="shared" si="13"/>
        <v>3</v>
      </c>
      <c r="H13" s="8">
        <v>11</v>
      </c>
      <c r="I13" s="1" t="s">
        <v>53</v>
      </c>
      <c r="J13" s="2">
        <f>VLOOKUP(I13,$S$2:$U$54,3,0)</f>
        <v>86</v>
      </c>
      <c r="K13" s="5" t="str">
        <f t="shared" si="14"/>
        <v>6th</v>
      </c>
      <c r="L13" s="1">
        <f t="shared" si="2"/>
        <v>0</v>
      </c>
      <c r="M13" s="1">
        <f t="shared" si="3"/>
        <v>1</v>
      </c>
      <c r="N13" s="3">
        <f t="shared" si="4"/>
        <v>0.17</v>
      </c>
      <c r="O13" s="3"/>
      <c r="P13" s="3"/>
      <c r="Q13">
        <v>0.91178992051499663</v>
      </c>
      <c r="R13" t="s">
        <v>21</v>
      </c>
      <c r="S13" t="s">
        <v>18</v>
      </c>
      <c r="T13" t="e">
        <f t="shared" si="5"/>
        <v>#N/A</v>
      </c>
      <c r="U13" t="e">
        <v>#N/A</v>
      </c>
      <c r="V13" t="e">
        <f t="shared" si="6"/>
        <v>#N/A</v>
      </c>
      <c r="W13" t="e">
        <f t="shared" si="7"/>
        <v>#N/A</v>
      </c>
      <c r="X13" t="e">
        <v>#N/A</v>
      </c>
      <c r="Y13" t="e">
        <f t="shared" si="8"/>
        <v>#N/A</v>
      </c>
      <c r="Z13" t="e">
        <f t="shared" si="9"/>
        <v>#N/A</v>
      </c>
      <c r="AA13" t="e">
        <v>#N/A</v>
      </c>
      <c r="AB13" t="e">
        <f t="shared" si="10"/>
        <v>#N/A</v>
      </c>
      <c r="AE13">
        <v>11</v>
      </c>
      <c r="AF13" t="s">
        <v>67</v>
      </c>
      <c r="AH13">
        <f t="shared" si="11"/>
        <v>12</v>
      </c>
      <c r="AI13">
        <f t="shared" si="12"/>
        <v>-1</v>
      </c>
      <c r="AJ13" s="6">
        <v>-1</v>
      </c>
      <c r="AP13" t="s">
        <v>21</v>
      </c>
      <c r="AQ13">
        <v>0.12</v>
      </c>
    </row>
    <row r="14" spans="1:43" x14ac:dyDescent="0.25">
      <c r="B14" s="11">
        <v>12</v>
      </c>
      <c r="C14" s="1" t="s">
        <v>67</v>
      </c>
      <c r="D14" s="1">
        <v>8</v>
      </c>
      <c r="G14" s="7">
        <f t="shared" si="13"/>
        <v>-1</v>
      </c>
      <c r="H14" s="8">
        <v>12</v>
      </c>
      <c r="I14" s="1" t="s">
        <v>67</v>
      </c>
      <c r="J14" s="2">
        <f>VLOOKUP(I14,$S$2:$U$54,3,0)</f>
        <v>83</v>
      </c>
      <c r="K14" s="5" t="str">
        <f t="shared" si="14"/>
        <v>12th</v>
      </c>
      <c r="L14" s="1">
        <f t="shared" si="2"/>
        <v>0</v>
      </c>
      <c r="M14" s="1">
        <f t="shared" si="3"/>
        <v>0</v>
      </c>
      <c r="N14" s="3">
        <f t="shared" si="4"/>
        <v>0.03</v>
      </c>
      <c r="O14" s="3"/>
      <c r="P14" s="3"/>
      <c r="Q14">
        <v>0.83249256457334586</v>
      </c>
      <c r="R14" t="s">
        <v>67</v>
      </c>
      <c r="S14" t="s">
        <v>70</v>
      </c>
      <c r="T14" t="e">
        <f t="shared" si="5"/>
        <v>#N/A</v>
      </c>
      <c r="U14" t="e">
        <v>#N/A</v>
      </c>
      <c r="V14" t="e">
        <f t="shared" si="6"/>
        <v>#N/A</v>
      </c>
      <c r="W14" t="e">
        <f t="shared" si="7"/>
        <v>#N/A</v>
      </c>
      <c r="X14" t="e">
        <v>#N/A</v>
      </c>
      <c r="Y14" t="e">
        <f t="shared" si="8"/>
        <v>#N/A</v>
      </c>
      <c r="Z14" t="e">
        <f t="shared" si="9"/>
        <v>#N/A</v>
      </c>
      <c r="AA14" t="e">
        <v>#N/A</v>
      </c>
      <c r="AB14" t="e">
        <f t="shared" si="10"/>
        <v>#N/A</v>
      </c>
      <c r="AE14">
        <v>12</v>
      </c>
      <c r="AF14" t="s">
        <v>68</v>
      </c>
      <c r="AH14">
        <f t="shared" si="11"/>
        <v>15</v>
      </c>
      <c r="AI14">
        <f t="shared" si="12"/>
        <v>-3</v>
      </c>
      <c r="AJ14" s="6">
        <v>-3</v>
      </c>
      <c r="AP14" t="s">
        <v>22</v>
      </c>
      <c r="AQ14">
        <v>0.23</v>
      </c>
    </row>
    <row r="15" spans="1:43" x14ac:dyDescent="0.25">
      <c r="B15" s="11">
        <v>13</v>
      </c>
      <c r="C15" s="1" t="s">
        <v>62</v>
      </c>
      <c r="D15" s="1">
        <v>6</v>
      </c>
      <c r="G15" s="7">
        <f t="shared" si="13"/>
        <v>-3</v>
      </c>
      <c r="H15" s="8">
        <v>13</v>
      </c>
      <c r="I15" s="1" t="s">
        <v>74</v>
      </c>
      <c r="J15" s="2">
        <f>VLOOKUP(I15,$S$2:$U$54,3,0)</f>
        <v>77</v>
      </c>
      <c r="K15" s="5" t="str">
        <f t="shared" si="14"/>
        <v>17th</v>
      </c>
      <c r="L15" s="1">
        <f t="shared" si="2"/>
        <v>0</v>
      </c>
      <c r="M15" s="1">
        <f t="shared" si="3"/>
        <v>1</v>
      </c>
      <c r="N15" s="3">
        <f t="shared" si="4"/>
        <v>0.08</v>
      </c>
      <c r="O15" s="3"/>
      <c r="P15" s="3"/>
      <c r="Q15">
        <v>0.75230340374538796</v>
      </c>
      <c r="R15" t="s">
        <v>62</v>
      </c>
      <c r="S15" t="s">
        <v>17</v>
      </c>
      <c r="T15" t="e">
        <f t="shared" si="5"/>
        <v>#N/A</v>
      </c>
      <c r="U15" t="e">
        <v>#N/A</v>
      </c>
      <c r="V15" t="e">
        <f t="shared" si="6"/>
        <v>#N/A</v>
      </c>
      <c r="W15" t="e">
        <f t="shared" si="7"/>
        <v>#N/A</v>
      </c>
      <c r="X15" t="e">
        <v>#N/A</v>
      </c>
      <c r="Y15" t="e">
        <f t="shared" si="8"/>
        <v>#N/A</v>
      </c>
      <c r="Z15" t="e">
        <f t="shared" si="9"/>
        <v>#N/A</v>
      </c>
      <c r="AA15" t="e">
        <v>#N/A</v>
      </c>
      <c r="AB15" t="e">
        <f t="shared" si="10"/>
        <v>#N/A</v>
      </c>
      <c r="AE15">
        <v>13</v>
      </c>
      <c r="AF15" t="s">
        <v>51</v>
      </c>
      <c r="AH15">
        <f t="shared" si="11"/>
        <v>17</v>
      </c>
      <c r="AI15">
        <f t="shared" si="12"/>
        <v>-4</v>
      </c>
      <c r="AJ15" s="6">
        <v>-4</v>
      </c>
      <c r="AP15" s="3" t="s">
        <v>5</v>
      </c>
      <c r="AQ15">
        <v>0.3</v>
      </c>
    </row>
    <row r="16" spans="1:43" x14ac:dyDescent="0.25">
      <c r="B16" s="11">
        <v>14</v>
      </c>
      <c r="C16" s="1" t="s">
        <v>24</v>
      </c>
      <c r="D16" s="1">
        <v>4</v>
      </c>
      <c r="G16" s="7">
        <f t="shared" si="13"/>
        <v>5</v>
      </c>
      <c r="H16" s="8">
        <v>14</v>
      </c>
      <c r="I16" s="1" t="s">
        <v>60</v>
      </c>
      <c r="J16" s="2">
        <f>VLOOKUP(I16,$S$2:$U$54,3,0)</f>
        <v>74</v>
      </c>
      <c r="K16" s="5" t="str">
        <f t="shared" si="14"/>
        <v>5th</v>
      </c>
      <c r="L16" s="1">
        <f t="shared" si="2"/>
        <v>0</v>
      </c>
      <c r="M16" s="1">
        <f t="shared" si="3"/>
        <v>0</v>
      </c>
      <c r="N16" s="3">
        <f t="shared" si="4"/>
        <v>0.1</v>
      </c>
      <c r="O16" s="3"/>
      <c r="P16" s="3"/>
      <c r="Q16">
        <v>0.74345970142888729</v>
      </c>
      <c r="R16" t="s">
        <v>24</v>
      </c>
      <c r="S16" t="s">
        <v>22</v>
      </c>
      <c r="T16" t="e">
        <f t="shared" si="5"/>
        <v>#N/A</v>
      </c>
      <c r="U16" t="e">
        <v>#N/A</v>
      </c>
      <c r="V16" t="e">
        <f t="shared" si="6"/>
        <v>#N/A</v>
      </c>
      <c r="W16" t="e">
        <f t="shared" si="7"/>
        <v>#N/A</v>
      </c>
      <c r="X16" t="e">
        <v>#N/A</v>
      </c>
      <c r="Y16" t="e">
        <f t="shared" si="8"/>
        <v>#N/A</v>
      </c>
      <c r="Z16" t="e">
        <f t="shared" si="9"/>
        <v>#N/A</v>
      </c>
      <c r="AA16" t="e">
        <v>#N/A</v>
      </c>
      <c r="AB16" t="e">
        <f t="shared" si="10"/>
        <v>#N/A</v>
      </c>
      <c r="AE16">
        <v>14</v>
      </c>
      <c r="AF16" t="s">
        <v>53</v>
      </c>
      <c r="AH16">
        <f t="shared" si="11"/>
        <v>11</v>
      </c>
      <c r="AI16">
        <f t="shared" si="12"/>
        <v>3</v>
      </c>
      <c r="AJ16" s="6">
        <v>3</v>
      </c>
      <c r="AP16" t="s">
        <v>9</v>
      </c>
      <c r="AQ16">
        <v>0.11</v>
      </c>
    </row>
    <row r="17" spans="2:43" x14ac:dyDescent="0.25">
      <c r="B17" s="11">
        <v>15</v>
      </c>
      <c r="C17" s="1" t="s">
        <v>20</v>
      </c>
      <c r="D17" s="1">
        <v>2</v>
      </c>
      <c r="G17" s="7">
        <f t="shared" si="13"/>
        <v>-3</v>
      </c>
      <c r="H17" s="8">
        <v>15</v>
      </c>
      <c r="I17" s="1" t="s">
        <v>68</v>
      </c>
      <c r="J17" s="2">
        <f>VLOOKUP(I17,$S$2:$U$54,3,0)</f>
        <v>71</v>
      </c>
      <c r="K17" s="5" t="str">
        <f t="shared" si="14"/>
        <v>21th</v>
      </c>
      <c r="L17" s="1">
        <f t="shared" si="2"/>
        <v>0</v>
      </c>
      <c r="M17" s="1">
        <f t="shared" si="3"/>
        <v>1</v>
      </c>
      <c r="N17" s="3">
        <f t="shared" si="4"/>
        <v>0.09</v>
      </c>
      <c r="O17" s="3"/>
      <c r="P17" s="3"/>
      <c r="Q17">
        <v>0.73450846575456596</v>
      </c>
      <c r="R17" t="s">
        <v>20</v>
      </c>
      <c r="S17" t="s">
        <v>66</v>
      </c>
      <c r="T17" t="e">
        <f t="shared" si="5"/>
        <v>#N/A</v>
      </c>
      <c r="U17" t="e">
        <v>#N/A</v>
      </c>
      <c r="V17" t="e">
        <f t="shared" si="6"/>
        <v>#N/A</v>
      </c>
      <c r="W17" t="e">
        <f t="shared" si="7"/>
        <v>#N/A</v>
      </c>
      <c r="X17" t="e">
        <v>#N/A</v>
      </c>
      <c r="Y17" t="e">
        <f t="shared" si="8"/>
        <v>#N/A</v>
      </c>
      <c r="Z17" t="e">
        <f t="shared" si="9"/>
        <v>#N/A</v>
      </c>
      <c r="AA17" t="e">
        <v>#N/A</v>
      </c>
      <c r="AB17" t="e">
        <f t="shared" si="10"/>
        <v>#N/A</v>
      </c>
      <c r="AE17">
        <v>15</v>
      </c>
      <c r="AF17" t="s">
        <v>72</v>
      </c>
      <c r="AH17">
        <f t="shared" si="11"/>
        <v>16</v>
      </c>
      <c r="AI17">
        <f t="shared" si="12"/>
        <v>-1</v>
      </c>
      <c r="AJ17" s="6">
        <v>-1</v>
      </c>
      <c r="AP17" s="3" t="s">
        <v>57</v>
      </c>
      <c r="AQ17">
        <v>0.06</v>
      </c>
    </row>
    <row r="18" spans="2:43" x14ac:dyDescent="0.25">
      <c r="B18" s="11">
        <v>16</v>
      </c>
      <c r="C18" s="1" t="s">
        <v>55</v>
      </c>
      <c r="D18" s="1">
        <v>1</v>
      </c>
      <c r="G18" s="7">
        <f t="shared" si="13"/>
        <v>-1</v>
      </c>
      <c r="H18" s="8">
        <v>16</v>
      </c>
      <c r="I18" s="2" t="s">
        <v>72</v>
      </c>
      <c r="J18" s="2">
        <f>VLOOKUP(I18,$S$2:$U$54,3,0)</f>
        <v>70</v>
      </c>
      <c r="K18" s="5" t="str">
        <f t="shared" si="14"/>
        <v>10th</v>
      </c>
      <c r="L18" s="1">
        <f t="shared" si="2"/>
        <v>1</v>
      </c>
      <c r="M18" s="1">
        <f t="shared" si="3"/>
        <v>1</v>
      </c>
      <c r="N18" s="3">
        <f t="shared" si="4"/>
        <v>0.02</v>
      </c>
      <c r="O18" s="3"/>
      <c r="P18" s="3"/>
      <c r="Q18">
        <v>0.71309260004273944</v>
      </c>
      <c r="R18" t="s">
        <v>55</v>
      </c>
      <c r="S18" t="s">
        <v>4</v>
      </c>
      <c r="T18" t="e">
        <f t="shared" si="5"/>
        <v>#N/A</v>
      </c>
      <c r="U18" t="e">
        <v>#N/A</v>
      </c>
      <c r="V18" t="e">
        <f t="shared" si="6"/>
        <v>#N/A</v>
      </c>
      <c r="W18" t="e">
        <f t="shared" si="7"/>
        <v>#N/A</v>
      </c>
      <c r="X18" t="e">
        <v>#N/A</v>
      </c>
      <c r="Y18" t="e">
        <f t="shared" si="8"/>
        <v>#N/A</v>
      </c>
      <c r="Z18" t="e">
        <f t="shared" si="9"/>
        <v>#N/A</v>
      </c>
      <c r="AA18" t="e">
        <v>#N/A</v>
      </c>
      <c r="AB18" t="e">
        <f t="shared" si="10"/>
        <v>#N/A</v>
      </c>
      <c r="AE18">
        <v>16</v>
      </c>
      <c r="AF18" t="s">
        <v>49</v>
      </c>
      <c r="AH18">
        <f t="shared" si="11"/>
        <v>20</v>
      </c>
      <c r="AI18">
        <f t="shared" si="12"/>
        <v>-4</v>
      </c>
      <c r="AJ18" s="6">
        <v>-4</v>
      </c>
      <c r="AP18" s="3" t="s">
        <v>25</v>
      </c>
      <c r="AQ18">
        <v>0.05</v>
      </c>
    </row>
    <row r="19" spans="2:43" x14ac:dyDescent="0.25">
      <c r="B19" s="11">
        <v>17</v>
      </c>
      <c r="C19" s="1" t="s">
        <v>74</v>
      </c>
      <c r="D19" s="1"/>
      <c r="G19" s="7">
        <f t="shared" si="13"/>
        <v>-4</v>
      </c>
      <c r="H19" s="8">
        <v>17</v>
      </c>
      <c r="I19" s="1" t="s">
        <v>51</v>
      </c>
      <c r="J19" s="2">
        <f>VLOOKUP(I19,$S$2:$U$54,3,0)</f>
        <v>67</v>
      </c>
      <c r="K19" s="5" t="str">
        <f t="shared" si="14"/>
        <v>19th</v>
      </c>
      <c r="L19" s="1">
        <f t="shared" si="2"/>
        <v>0</v>
      </c>
      <c r="M19" s="1">
        <f t="shared" si="3"/>
        <v>1</v>
      </c>
      <c r="N19" s="3">
        <f t="shared" si="4"/>
        <v>0.09</v>
      </c>
      <c r="O19" s="3"/>
      <c r="P19" s="3"/>
      <c r="Q19">
        <v>0.70947649164432425</v>
      </c>
      <c r="R19" t="s">
        <v>74</v>
      </c>
      <c r="S19" t="s">
        <v>63</v>
      </c>
      <c r="T19" t="e">
        <f t="shared" si="5"/>
        <v>#N/A</v>
      </c>
      <c r="U19" t="e">
        <v>#N/A</v>
      </c>
      <c r="V19" t="e">
        <f t="shared" si="6"/>
        <v>#N/A</v>
      </c>
      <c r="W19" t="e">
        <f t="shared" si="7"/>
        <v>#N/A</v>
      </c>
      <c r="X19" t="e">
        <v>#N/A</v>
      </c>
      <c r="Y19" t="e">
        <f t="shared" si="8"/>
        <v>#N/A</v>
      </c>
      <c r="Z19" t="e">
        <f t="shared" si="9"/>
        <v>#N/A</v>
      </c>
      <c r="AA19" t="e">
        <v>#N/A</v>
      </c>
      <c r="AB19" t="e">
        <f t="shared" si="10"/>
        <v>#N/A</v>
      </c>
      <c r="AE19">
        <v>17</v>
      </c>
      <c r="AF19" t="s">
        <v>61</v>
      </c>
      <c r="AH19">
        <f t="shared" si="11"/>
        <v>21</v>
      </c>
      <c r="AI19">
        <f t="shared" si="12"/>
        <v>-4</v>
      </c>
      <c r="AJ19" s="6">
        <v>-4</v>
      </c>
      <c r="AP19" t="s">
        <v>49</v>
      </c>
      <c r="AQ19">
        <v>0.11</v>
      </c>
    </row>
    <row r="20" spans="2:43" x14ac:dyDescent="0.25">
      <c r="B20" s="11">
        <v>18</v>
      </c>
      <c r="C20" s="1" t="s">
        <v>57</v>
      </c>
      <c r="D20" s="1"/>
      <c r="G20" s="7">
        <f t="shared" si="13"/>
        <v>5</v>
      </c>
      <c r="H20" s="8">
        <v>18</v>
      </c>
      <c r="I20" s="1" t="s">
        <v>58</v>
      </c>
      <c r="J20" s="2">
        <f>VLOOKUP(I20,$S$2:$U$54,3,0)</f>
        <v>67</v>
      </c>
      <c r="K20" s="5" t="str">
        <f t="shared" si="14"/>
        <v>4th</v>
      </c>
      <c r="L20" s="1">
        <f t="shared" si="2"/>
        <v>0</v>
      </c>
      <c r="M20" s="1">
        <f t="shared" si="3"/>
        <v>0</v>
      </c>
      <c r="N20" s="3">
        <f t="shared" si="4"/>
        <v>0.05</v>
      </c>
      <c r="P20" s="3"/>
      <c r="Q20">
        <v>0.7078235893105258</v>
      </c>
      <c r="R20" t="s">
        <v>57</v>
      </c>
      <c r="S20" t="s">
        <v>10</v>
      </c>
      <c r="T20" t="e">
        <f t="shared" si="5"/>
        <v>#N/A</v>
      </c>
      <c r="U20" t="e">
        <v>#N/A</v>
      </c>
      <c r="V20" t="e">
        <f t="shared" si="6"/>
        <v>#N/A</v>
      </c>
      <c r="W20" t="e">
        <f t="shared" si="7"/>
        <v>#N/A</v>
      </c>
      <c r="X20" t="e">
        <v>#N/A</v>
      </c>
      <c r="Y20" t="e">
        <f t="shared" si="8"/>
        <v>#N/A</v>
      </c>
      <c r="Z20" t="e">
        <f t="shared" si="9"/>
        <v>#N/A</v>
      </c>
      <c r="AA20" t="e">
        <v>#N/A</v>
      </c>
      <c r="AB20" t="e">
        <f t="shared" si="10"/>
        <v>#N/A</v>
      </c>
      <c r="AE20">
        <v>18</v>
      </c>
      <c r="AF20" t="s">
        <v>19</v>
      </c>
      <c r="AH20">
        <f t="shared" si="11"/>
        <v>9</v>
      </c>
      <c r="AI20">
        <f t="shared" si="12"/>
        <v>9</v>
      </c>
      <c r="AJ20" s="6">
        <v>9</v>
      </c>
      <c r="AP20" s="3" t="s">
        <v>69</v>
      </c>
      <c r="AQ20">
        <v>0.14000000000000001</v>
      </c>
    </row>
    <row r="21" spans="2:43" x14ac:dyDescent="0.25">
      <c r="B21" s="11">
        <v>19</v>
      </c>
      <c r="C21" s="1" t="s">
        <v>51</v>
      </c>
      <c r="D21" s="1"/>
      <c r="G21" s="7">
        <f t="shared" si="13"/>
        <v>1</v>
      </c>
      <c r="H21" s="8">
        <v>19</v>
      </c>
      <c r="I21" s="1" t="s">
        <v>28</v>
      </c>
      <c r="J21" s="2">
        <f>VLOOKUP(I21,$S$2:$U$54,3,0)</f>
        <v>58</v>
      </c>
      <c r="K21" s="5" t="str">
        <f t="shared" si="14"/>
        <v>9th</v>
      </c>
      <c r="L21" s="1">
        <f t="shared" si="2"/>
        <v>0</v>
      </c>
      <c r="M21" s="1">
        <f t="shared" si="3"/>
        <v>0</v>
      </c>
      <c r="N21" s="3">
        <f t="shared" si="4"/>
        <v>0.15</v>
      </c>
      <c r="P21" s="3"/>
      <c r="Q21">
        <v>0.67808467479806578</v>
      </c>
      <c r="R21" t="s">
        <v>51</v>
      </c>
      <c r="S21" t="s">
        <v>12</v>
      </c>
      <c r="T21" t="e">
        <f t="shared" si="5"/>
        <v>#N/A</v>
      </c>
      <c r="U21" t="e">
        <v>#N/A</v>
      </c>
      <c r="V21" t="e">
        <f t="shared" si="6"/>
        <v>#N/A</v>
      </c>
      <c r="W21" t="e">
        <f t="shared" si="7"/>
        <v>#N/A</v>
      </c>
      <c r="X21" t="e">
        <v>#N/A</v>
      </c>
      <c r="Y21" t="e">
        <f t="shared" si="8"/>
        <v>#N/A</v>
      </c>
      <c r="Z21" t="e">
        <f t="shared" si="9"/>
        <v>#N/A</v>
      </c>
      <c r="AA21" t="e">
        <v>#N/A</v>
      </c>
      <c r="AB21" t="e">
        <f t="shared" si="10"/>
        <v>#N/A</v>
      </c>
      <c r="AE21">
        <v>19</v>
      </c>
      <c r="AF21" t="s">
        <v>60</v>
      </c>
      <c r="AH21">
        <f t="shared" si="11"/>
        <v>14</v>
      </c>
      <c r="AI21">
        <f t="shared" si="12"/>
        <v>5</v>
      </c>
      <c r="AJ21" s="6">
        <v>5</v>
      </c>
      <c r="AP21" t="s">
        <v>73</v>
      </c>
      <c r="AQ21">
        <v>0.15</v>
      </c>
    </row>
    <row r="22" spans="2:43" x14ac:dyDescent="0.25">
      <c r="B22" s="17">
        <v>20</v>
      </c>
      <c r="C22" s="18" t="s">
        <v>11</v>
      </c>
      <c r="D22" s="1"/>
      <c r="G22" s="7">
        <f t="shared" si="13"/>
        <v>-4</v>
      </c>
      <c r="H22" s="8">
        <v>20</v>
      </c>
      <c r="I22" s="2" t="s">
        <v>49</v>
      </c>
      <c r="J22" s="2">
        <f>VLOOKUP(I22,$S$2:$U$54,3,0)</f>
        <v>56</v>
      </c>
      <c r="K22" s="5" t="str">
        <f t="shared" si="14"/>
        <v>24th</v>
      </c>
      <c r="L22" s="1">
        <f t="shared" si="2"/>
        <v>0</v>
      </c>
      <c r="M22" s="1">
        <f t="shared" si="3"/>
        <v>1</v>
      </c>
      <c r="N22" s="3">
        <f t="shared" si="4"/>
        <v>0.11</v>
      </c>
      <c r="P22" s="3"/>
      <c r="Q22">
        <v>0.66871794208146373</v>
      </c>
      <c r="R22" t="s">
        <v>11</v>
      </c>
      <c r="S22" t="s">
        <v>16</v>
      </c>
      <c r="T22" t="e">
        <f t="shared" si="5"/>
        <v>#N/A</v>
      </c>
      <c r="U22" t="e">
        <v>#N/A</v>
      </c>
      <c r="V22" t="e">
        <f t="shared" si="6"/>
        <v>#N/A</v>
      </c>
      <c r="W22" t="e">
        <f t="shared" si="7"/>
        <v>#N/A</v>
      </c>
      <c r="X22" t="e">
        <v>#N/A</v>
      </c>
      <c r="Y22" t="e">
        <f t="shared" si="8"/>
        <v>#N/A</v>
      </c>
      <c r="Z22" t="e">
        <f t="shared" si="9"/>
        <v>#N/A</v>
      </c>
      <c r="AA22" t="e">
        <v>#N/A</v>
      </c>
      <c r="AB22" t="e">
        <f t="shared" si="10"/>
        <v>#N/A</v>
      </c>
      <c r="AE22">
        <v>20</v>
      </c>
      <c r="AF22" t="s">
        <v>28</v>
      </c>
      <c r="AH22">
        <f t="shared" si="11"/>
        <v>19</v>
      </c>
      <c r="AI22">
        <f t="shared" si="12"/>
        <v>1</v>
      </c>
      <c r="AJ22" s="6">
        <v>1</v>
      </c>
      <c r="AP22" s="14" t="s">
        <v>72</v>
      </c>
      <c r="AQ22">
        <v>0.02</v>
      </c>
    </row>
    <row r="23" spans="2:43" x14ac:dyDescent="0.25">
      <c r="B23" s="17">
        <v>21</v>
      </c>
      <c r="C23" s="18" t="s">
        <v>68</v>
      </c>
      <c r="D23" s="1"/>
      <c r="G23" s="7">
        <f t="shared" si="13"/>
        <v>-4</v>
      </c>
      <c r="H23" s="8">
        <v>21</v>
      </c>
      <c r="I23" s="1" t="s">
        <v>61</v>
      </c>
      <c r="J23" s="2">
        <f>VLOOKUP(I23,$S$2:$U$54,3,0)</f>
        <v>55</v>
      </c>
      <c r="K23" s="5" t="str">
        <f t="shared" si="14"/>
        <v>22th</v>
      </c>
      <c r="L23" s="1">
        <f t="shared" si="2"/>
        <v>0</v>
      </c>
      <c r="M23" s="1">
        <f t="shared" si="3"/>
        <v>0</v>
      </c>
      <c r="N23" s="3">
        <f t="shared" si="4"/>
        <v>0.1</v>
      </c>
      <c r="P23" s="3"/>
      <c r="Q23">
        <v>0.47586258333961173</v>
      </c>
      <c r="R23" t="s">
        <v>68</v>
      </c>
      <c r="S23" t="s">
        <v>62</v>
      </c>
      <c r="T23">
        <f t="shared" si="5"/>
        <v>6</v>
      </c>
      <c r="U23">
        <v>45</v>
      </c>
      <c r="V23">
        <f t="shared" si="6"/>
        <v>51</v>
      </c>
      <c r="W23">
        <f t="shared" si="7"/>
        <v>0</v>
      </c>
      <c r="X23">
        <v>0</v>
      </c>
      <c r="Y23">
        <f t="shared" si="8"/>
        <v>0</v>
      </c>
      <c r="Z23">
        <f t="shared" si="9"/>
        <v>0</v>
      </c>
      <c r="AA23">
        <v>0</v>
      </c>
      <c r="AB23">
        <f t="shared" si="10"/>
        <v>0</v>
      </c>
      <c r="AE23">
        <v>21</v>
      </c>
      <c r="AF23" t="s">
        <v>14</v>
      </c>
      <c r="AH23">
        <f t="shared" si="11"/>
        <v>23</v>
      </c>
      <c r="AI23">
        <f t="shared" si="12"/>
        <v>-2</v>
      </c>
      <c r="AJ23" s="6">
        <v>-2</v>
      </c>
      <c r="AP23" s="14" t="s">
        <v>24</v>
      </c>
      <c r="AQ23">
        <v>0.2</v>
      </c>
    </row>
    <row r="24" spans="2:43" x14ac:dyDescent="0.25">
      <c r="B24" s="17">
        <v>22</v>
      </c>
      <c r="C24" s="18" t="s">
        <v>61</v>
      </c>
      <c r="D24" s="1"/>
      <c r="G24" s="7">
        <f t="shared" si="13"/>
        <v>0</v>
      </c>
      <c r="H24" s="8">
        <v>22</v>
      </c>
      <c r="I24" s="2" t="s">
        <v>62</v>
      </c>
      <c r="J24" s="2">
        <f>VLOOKUP(I24,$S$2:$U$54,3,0)</f>
        <v>45</v>
      </c>
      <c r="K24" s="5" t="str">
        <f t="shared" si="14"/>
        <v>13th</v>
      </c>
      <c r="L24" s="1">
        <f t="shared" si="2"/>
        <v>0</v>
      </c>
      <c r="M24" s="1">
        <f t="shared" si="3"/>
        <v>0</v>
      </c>
      <c r="N24" s="3">
        <f t="shared" si="4"/>
        <v>0.13</v>
      </c>
      <c r="P24" s="3"/>
      <c r="Q24">
        <v>0.46909186536102376</v>
      </c>
      <c r="R24" t="s">
        <v>61</v>
      </c>
      <c r="S24" t="s">
        <v>14</v>
      </c>
      <c r="T24">
        <f t="shared" si="5"/>
        <v>0</v>
      </c>
      <c r="U24">
        <v>39</v>
      </c>
      <c r="V24">
        <f t="shared" si="6"/>
        <v>39</v>
      </c>
      <c r="W24">
        <f t="shared" si="7"/>
        <v>0</v>
      </c>
      <c r="X24">
        <v>0</v>
      </c>
      <c r="Y24">
        <f t="shared" si="8"/>
        <v>0</v>
      </c>
      <c r="Z24">
        <f t="shared" si="9"/>
        <v>0</v>
      </c>
      <c r="AA24">
        <v>0</v>
      </c>
      <c r="AB24">
        <f t="shared" si="10"/>
        <v>0</v>
      </c>
      <c r="AE24">
        <v>22</v>
      </c>
      <c r="AF24" t="s">
        <v>62</v>
      </c>
      <c r="AH24">
        <f t="shared" si="11"/>
        <v>22</v>
      </c>
      <c r="AI24">
        <f t="shared" si="12"/>
        <v>0</v>
      </c>
      <c r="AJ24" s="6">
        <v>0</v>
      </c>
      <c r="AP24" s="3" t="s">
        <v>11</v>
      </c>
      <c r="AQ24">
        <v>0.14000000000000001</v>
      </c>
    </row>
    <row r="25" spans="2:43" x14ac:dyDescent="0.25">
      <c r="B25" s="17">
        <v>23</v>
      </c>
      <c r="C25" s="18" t="s">
        <v>26</v>
      </c>
      <c r="D25" s="1"/>
      <c r="G25" s="7">
        <f t="shared" si="13"/>
        <v>-2</v>
      </c>
      <c r="H25" s="8">
        <v>23</v>
      </c>
      <c r="I25" s="1" t="s">
        <v>14</v>
      </c>
      <c r="J25" s="2">
        <f>VLOOKUP(I25,$S$2:$U$54,3,0)</f>
        <v>39</v>
      </c>
      <c r="K25" s="5" t="str">
        <f t="shared" si="14"/>
        <v>26th</v>
      </c>
      <c r="L25" s="1">
        <f t="shared" si="2"/>
        <v>0</v>
      </c>
      <c r="M25" s="1">
        <f t="shared" si="3"/>
        <v>0</v>
      </c>
      <c r="N25" s="3">
        <f t="shared" si="4"/>
        <v>0.05</v>
      </c>
      <c r="P25" s="3"/>
      <c r="Q25">
        <v>0.35649486773828898</v>
      </c>
      <c r="R25" t="s">
        <v>26</v>
      </c>
      <c r="S25" t="s">
        <v>13</v>
      </c>
      <c r="T25" t="e">
        <f t="shared" si="5"/>
        <v>#N/A</v>
      </c>
      <c r="U25" t="e">
        <v>#N/A</v>
      </c>
      <c r="V25" t="e">
        <f t="shared" si="6"/>
        <v>#N/A</v>
      </c>
      <c r="W25" t="e">
        <f t="shared" si="7"/>
        <v>#N/A</v>
      </c>
      <c r="X25" t="e">
        <v>#N/A</v>
      </c>
      <c r="Y25" t="e">
        <f t="shared" si="8"/>
        <v>#N/A</v>
      </c>
      <c r="Z25" t="e">
        <f t="shared" si="9"/>
        <v>#N/A</v>
      </c>
      <c r="AA25" t="e">
        <v>#N/A</v>
      </c>
      <c r="AB25" t="e">
        <f t="shared" si="10"/>
        <v>#N/A</v>
      </c>
      <c r="AE25">
        <v>23</v>
      </c>
      <c r="AF25" t="s">
        <v>58</v>
      </c>
      <c r="AH25">
        <f t="shared" si="11"/>
        <v>18</v>
      </c>
      <c r="AI25">
        <f t="shared" si="12"/>
        <v>5</v>
      </c>
      <c r="AJ25" s="6">
        <v>5</v>
      </c>
      <c r="AP25" t="s">
        <v>51</v>
      </c>
      <c r="AQ25">
        <v>0.09</v>
      </c>
    </row>
    <row r="26" spans="2:43" x14ac:dyDescent="0.25">
      <c r="B26" s="17">
        <v>24</v>
      </c>
      <c r="C26" s="18" t="s">
        <v>49</v>
      </c>
      <c r="D26" s="1"/>
      <c r="G26" s="7">
        <f t="shared" si="13"/>
        <v>0</v>
      </c>
      <c r="H26" s="8">
        <v>24</v>
      </c>
      <c r="I26" s="2" t="s">
        <v>11</v>
      </c>
      <c r="J26" s="2">
        <f>VLOOKUP(I26,$S$2:$U$54,3,0)</f>
        <v>26</v>
      </c>
      <c r="K26" s="5" t="str">
        <f t="shared" si="14"/>
        <v>20th</v>
      </c>
      <c r="L26" s="1">
        <f t="shared" si="2"/>
        <v>0</v>
      </c>
      <c r="M26" s="1">
        <f t="shared" si="3"/>
        <v>0</v>
      </c>
      <c r="N26" s="3">
        <f t="shared" si="4"/>
        <v>0.14000000000000001</v>
      </c>
      <c r="P26" s="3"/>
      <c r="Q26">
        <v>0.21595930914573391</v>
      </c>
      <c r="R26" t="s">
        <v>49</v>
      </c>
      <c r="S26" t="s">
        <v>8</v>
      </c>
      <c r="T26" t="e">
        <f t="shared" si="5"/>
        <v>#N/A</v>
      </c>
      <c r="U26" t="e">
        <v>#N/A</v>
      </c>
      <c r="V26" t="e">
        <f t="shared" si="6"/>
        <v>#N/A</v>
      </c>
      <c r="W26" t="e">
        <f t="shared" si="7"/>
        <v>#N/A</v>
      </c>
      <c r="X26" t="e">
        <v>#N/A</v>
      </c>
      <c r="Y26" t="e">
        <f t="shared" si="8"/>
        <v>#N/A</v>
      </c>
      <c r="Z26" t="e">
        <f t="shared" si="9"/>
        <v>#N/A</v>
      </c>
      <c r="AA26" t="e">
        <v>#N/A</v>
      </c>
      <c r="AB26" t="e">
        <f t="shared" si="10"/>
        <v>#N/A</v>
      </c>
      <c r="AE26">
        <v>24</v>
      </c>
      <c r="AF26" t="s">
        <v>11</v>
      </c>
      <c r="AH26">
        <f t="shared" si="11"/>
        <v>24</v>
      </c>
      <c r="AI26">
        <f t="shared" si="12"/>
        <v>0</v>
      </c>
      <c r="AJ26" s="6">
        <v>0</v>
      </c>
      <c r="AP26" t="s">
        <v>20</v>
      </c>
      <c r="AQ26">
        <v>0.16</v>
      </c>
    </row>
    <row r="27" spans="2:43" x14ac:dyDescent="0.25">
      <c r="B27" s="17">
        <v>25</v>
      </c>
      <c r="C27" s="18" t="s">
        <v>65</v>
      </c>
      <c r="D27" s="1"/>
      <c r="G27" s="7">
        <f t="shared" si="13"/>
        <v>0</v>
      </c>
      <c r="H27" s="8">
        <v>25</v>
      </c>
      <c r="I27" s="1" t="s">
        <v>26</v>
      </c>
      <c r="J27" s="2">
        <f>VLOOKUP(I27,$S$2:$U$54,3,0)</f>
        <v>21</v>
      </c>
      <c r="K27" s="5" t="str">
        <f t="shared" si="14"/>
        <v>23th</v>
      </c>
      <c r="L27" s="1">
        <f t="shared" si="2"/>
        <v>0</v>
      </c>
      <c r="M27" s="1">
        <f t="shared" si="3"/>
        <v>0</v>
      </c>
      <c r="N27" s="3">
        <f t="shared" si="4"/>
        <v>0.13</v>
      </c>
      <c r="P27" s="3"/>
      <c r="Q27">
        <v>0.13125877560474564</v>
      </c>
      <c r="R27" t="s">
        <v>65</v>
      </c>
      <c r="S27" t="s">
        <v>67</v>
      </c>
      <c r="T27">
        <f t="shared" si="5"/>
        <v>8</v>
      </c>
      <c r="U27">
        <v>83</v>
      </c>
      <c r="V27">
        <f t="shared" si="6"/>
        <v>91</v>
      </c>
      <c r="W27">
        <f t="shared" si="7"/>
        <v>0</v>
      </c>
      <c r="X27">
        <v>0</v>
      </c>
      <c r="Y27">
        <f t="shared" si="8"/>
        <v>0</v>
      </c>
      <c r="Z27">
        <f t="shared" si="9"/>
        <v>0</v>
      </c>
      <c r="AA27">
        <v>0</v>
      </c>
      <c r="AB27">
        <f t="shared" si="10"/>
        <v>0</v>
      </c>
      <c r="AE27">
        <v>25</v>
      </c>
      <c r="AF27" t="s">
        <v>26</v>
      </c>
      <c r="AH27">
        <f t="shared" si="11"/>
        <v>25</v>
      </c>
      <c r="AI27">
        <f t="shared" si="12"/>
        <v>0</v>
      </c>
      <c r="AJ27" s="6">
        <v>0</v>
      </c>
      <c r="AP27" s="3" t="s">
        <v>50</v>
      </c>
      <c r="AQ27">
        <v>0.15</v>
      </c>
    </row>
    <row r="28" spans="2:43" x14ac:dyDescent="0.25">
      <c r="B28" s="17">
        <v>26</v>
      </c>
      <c r="C28" s="18" t="s">
        <v>14</v>
      </c>
      <c r="D28" s="1"/>
      <c r="G28" s="7">
        <f t="shared" si="13"/>
        <v>0</v>
      </c>
      <c r="H28" s="8">
        <v>26</v>
      </c>
      <c r="I28" s="1" t="s">
        <v>55</v>
      </c>
      <c r="J28" s="2">
        <f>VLOOKUP(I28,$S$2:$U$54,3,0)</f>
        <v>19</v>
      </c>
      <c r="K28" s="5" t="str">
        <f t="shared" si="14"/>
        <v>16th</v>
      </c>
      <c r="L28" s="1">
        <f t="shared" si="2"/>
        <v>0</v>
      </c>
      <c r="M28" s="1">
        <f t="shared" si="3"/>
        <v>0</v>
      </c>
      <c r="N28" s="3">
        <f t="shared" si="4"/>
        <v>0.08</v>
      </c>
      <c r="P28" s="3"/>
      <c r="Q28">
        <v>6.7199184374630419E-2</v>
      </c>
      <c r="R28" t="s">
        <v>14</v>
      </c>
      <c r="S28" t="s">
        <v>60</v>
      </c>
      <c r="T28">
        <f t="shared" si="5"/>
        <v>27</v>
      </c>
      <c r="U28">
        <v>74</v>
      </c>
      <c r="V28">
        <f t="shared" si="6"/>
        <v>101</v>
      </c>
      <c r="W28">
        <f t="shared" si="7"/>
        <v>0</v>
      </c>
      <c r="X28">
        <v>0</v>
      </c>
      <c r="Y28">
        <f t="shared" si="8"/>
        <v>0</v>
      </c>
      <c r="Z28">
        <f t="shared" si="9"/>
        <v>0</v>
      </c>
      <c r="AA28">
        <v>0</v>
      </c>
      <c r="AB28">
        <f t="shared" si="10"/>
        <v>0</v>
      </c>
      <c r="AE28">
        <v>26</v>
      </c>
      <c r="AF28" t="s">
        <v>55</v>
      </c>
      <c r="AH28">
        <f t="shared" si="11"/>
        <v>26</v>
      </c>
      <c r="AI28">
        <f t="shared" si="12"/>
        <v>0</v>
      </c>
      <c r="AJ28" s="6">
        <v>0</v>
      </c>
      <c r="AP28" s="3" t="s">
        <v>26</v>
      </c>
      <c r="AQ28">
        <v>0.13</v>
      </c>
    </row>
    <row r="29" spans="2:43" x14ac:dyDescent="0.25">
      <c r="B29" s="16"/>
      <c r="L29" s="3"/>
      <c r="M29" s="3"/>
      <c r="N29" s="3"/>
      <c r="S29" s="3" t="s">
        <v>15</v>
      </c>
      <c r="T29" t="e">
        <f t="shared" si="5"/>
        <v>#N/A</v>
      </c>
      <c r="U29" t="e">
        <v>#N/A</v>
      </c>
      <c r="V29" t="e">
        <f t="shared" si="6"/>
        <v>#N/A</v>
      </c>
      <c r="W29" t="e">
        <f t="shared" si="7"/>
        <v>#N/A</v>
      </c>
      <c r="X29" t="e">
        <v>#N/A</v>
      </c>
      <c r="Y29" t="e">
        <f t="shared" si="8"/>
        <v>#N/A</v>
      </c>
      <c r="Z29" t="e">
        <f t="shared" si="9"/>
        <v>#N/A</v>
      </c>
      <c r="AA29" t="e">
        <v>#N/A</v>
      </c>
      <c r="AB29" t="e">
        <f t="shared" si="10"/>
        <v>#N/A</v>
      </c>
      <c r="AP29" t="s">
        <v>17</v>
      </c>
      <c r="AQ29">
        <v>0.18</v>
      </c>
    </row>
    <row r="30" spans="2:43" x14ac:dyDescent="0.25">
      <c r="N30" s="3"/>
      <c r="S30" s="3" t="s">
        <v>50</v>
      </c>
      <c r="T30" t="e">
        <f t="shared" si="5"/>
        <v>#N/A</v>
      </c>
      <c r="U30" t="e">
        <v>#N/A</v>
      </c>
      <c r="V30" t="e">
        <f t="shared" si="6"/>
        <v>#N/A</v>
      </c>
      <c r="W30" t="e">
        <f t="shared" si="7"/>
        <v>#N/A</v>
      </c>
      <c r="X30" t="e">
        <v>#N/A</v>
      </c>
      <c r="Y30" t="e">
        <f t="shared" si="8"/>
        <v>#N/A</v>
      </c>
      <c r="Z30" t="e">
        <f t="shared" si="9"/>
        <v>#N/A</v>
      </c>
      <c r="AA30" t="e">
        <v>#N/A</v>
      </c>
      <c r="AB30" t="e">
        <f t="shared" si="10"/>
        <v>#N/A</v>
      </c>
      <c r="AP30" s="3" t="s">
        <v>64</v>
      </c>
      <c r="AQ30">
        <v>0.2</v>
      </c>
    </row>
    <row r="31" spans="2:43" x14ac:dyDescent="0.25">
      <c r="S31" s="3" t="s">
        <v>5</v>
      </c>
      <c r="T31" t="e">
        <f t="shared" si="5"/>
        <v>#N/A</v>
      </c>
      <c r="U31" t="e">
        <v>#N/A</v>
      </c>
      <c r="V31" t="e">
        <f t="shared" si="6"/>
        <v>#N/A</v>
      </c>
      <c r="W31" t="e">
        <f t="shared" si="7"/>
        <v>#N/A</v>
      </c>
      <c r="X31" t="e">
        <v>#N/A</v>
      </c>
      <c r="Y31" t="e">
        <f t="shared" si="8"/>
        <v>#N/A</v>
      </c>
      <c r="Z31" t="e">
        <f t="shared" si="9"/>
        <v>#N/A</v>
      </c>
      <c r="AA31" t="e">
        <v>#N/A</v>
      </c>
      <c r="AB31" t="e">
        <f t="shared" si="10"/>
        <v>#N/A</v>
      </c>
      <c r="AP31" s="3" t="s">
        <v>54</v>
      </c>
      <c r="AQ31">
        <v>0.35</v>
      </c>
    </row>
    <row r="32" spans="2:43" x14ac:dyDescent="0.25">
      <c r="S32" s="3" t="s">
        <v>69</v>
      </c>
      <c r="T32" t="e">
        <f t="shared" si="5"/>
        <v>#N/A</v>
      </c>
      <c r="U32" t="e">
        <v>#N/A</v>
      </c>
      <c r="V32" t="e">
        <f t="shared" si="6"/>
        <v>#N/A</v>
      </c>
      <c r="W32" t="e">
        <f t="shared" si="7"/>
        <v>#N/A</v>
      </c>
      <c r="X32" t="e">
        <v>#N/A</v>
      </c>
      <c r="Y32" t="e">
        <f t="shared" si="8"/>
        <v>#N/A</v>
      </c>
      <c r="Z32" t="e">
        <f t="shared" si="9"/>
        <v>#N/A</v>
      </c>
      <c r="AA32" t="e">
        <v>#N/A</v>
      </c>
      <c r="AB32" t="e">
        <f t="shared" si="10"/>
        <v>#N/A</v>
      </c>
      <c r="AP32" s="14" t="s">
        <v>7</v>
      </c>
      <c r="AQ32">
        <v>0.28999999999999998</v>
      </c>
    </row>
    <row r="33" spans="19:43" x14ac:dyDescent="0.25">
      <c r="S33" s="14" t="s">
        <v>59</v>
      </c>
      <c r="T33" t="e">
        <f t="shared" si="5"/>
        <v>#N/A</v>
      </c>
      <c r="U33" t="e">
        <v>#N/A</v>
      </c>
      <c r="V33" t="e">
        <f t="shared" si="6"/>
        <v>#N/A</v>
      </c>
      <c r="W33" t="e">
        <f t="shared" si="7"/>
        <v>#N/A</v>
      </c>
      <c r="X33" t="e">
        <v>#N/A</v>
      </c>
      <c r="Y33" t="e">
        <f t="shared" si="8"/>
        <v>#N/A</v>
      </c>
      <c r="Z33" t="e">
        <f t="shared" si="9"/>
        <v>#N/A</v>
      </c>
      <c r="AA33" t="e">
        <v>#N/A</v>
      </c>
      <c r="AB33" t="e">
        <f t="shared" si="10"/>
        <v>#N/A</v>
      </c>
      <c r="AP33" s="3" t="s">
        <v>6</v>
      </c>
      <c r="AQ33">
        <v>0.34499999999999997</v>
      </c>
    </row>
    <row r="34" spans="19:43" x14ac:dyDescent="0.25">
      <c r="S34" s="14" t="s">
        <v>58</v>
      </c>
      <c r="T34">
        <f t="shared" si="5"/>
        <v>31</v>
      </c>
      <c r="U34">
        <v>67</v>
      </c>
      <c r="V34">
        <f t="shared" si="6"/>
        <v>98</v>
      </c>
      <c r="W34">
        <f t="shared" si="7"/>
        <v>0</v>
      </c>
      <c r="X34">
        <v>0</v>
      </c>
      <c r="Y34">
        <f t="shared" si="8"/>
        <v>0</v>
      </c>
      <c r="Z34">
        <f t="shared" si="9"/>
        <v>0</v>
      </c>
      <c r="AA34">
        <v>0</v>
      </c>
      <c r="AB34">
        <f t="shared" si="10"/>
        <v>0</v>
      </c>
      <c r="AP34" s="3" t="s">
        <v>74</v>
      </c>
      <c r="AQ34">
        <v>0.08</v>
      </c>
    </row>
    <row r="35" spans="19:43" x14ac:dyDescent="0.25">
      <c r="S35" s="3" t="s">
        <v>61</v>
      </c>
      <c r="T35">
        <f t="shared" si="5"/>
        <v>0</v>
      </c>
      <c r="U35">
        <v>55</v>
      </c>
      <c r="V35">
        <f t="shared" si="6"/>
        <v>55</v>
      </c>
      <c r="W35">
        <f t="shared" si="7"/>
        <v>0</v>
      </c>
      <c r="X35">
        <v>0</v>
      </c>
      <c r="Y35">
        <f t="shared" si="8"/>
        <v>0</v>
      </c>
      <c r="Z35">
        <f t="shared" si="9"/>
        <v>0</v>
      </c>
      <c r="AA35">
        <v>0</v>
      </c>
      <c r="AB35">
        <f t="shared" si="10"/>
        <v>0</v>
      </c>
      <c r="AP35" t="s">
        <v>67</v>
      </c>
      <c r="AQ35">
        <v>0.03</v>
      </c>
    </row>
    <row r="36" spans="19:43" x14ac:dyDescent="0.25">
      <c r="S36" s="14" t="s">
        <v>55</v>
      </c>
      <c r="T36">
        <f t="shared" si="5"/>
        <v>1</v>
      </c>
      <c r="U36">
        <v>19</v>
      </c>
      <c r="V36">
        <f t="shared" si="6"/>
        <v>20</v>
      </c>
      <c r="W36">
        <f t="shared" si="7"/>
        <v>0</v>
      </c>
      <c r="X36">
        <v>0</v>
      </c>
      <c r="Y36">
        <f t="shared" si="8"/>
        <v>0</v>
      </c>
      <c r="Z36">
        <f t="shared" si="9"/>
        <v>0</v>
      </c>
      <c r="AA36">
        <v>0</v>
      </c>
      <c r="AB36">
        <f t="shared" si="10"/>
        <v>0</v>
      </c>
      <c r="AP36" t="s">
        <v>10</v>
      </c>
      <c r="AQ36">
        <v>0.35499999999999998</v>
      </c>
    </row>
    <row r="37" spans="19:43" x14ac:dyDescent="0.25">
      <c r="S37" s="3" t="s">
        <v>25</v>
      </c>
      <c r="T37">
        <f t="shared" si="5"/>
        <v>36</v>
      </c>
      <c r="U37">
        <v>115</v>
      </c>
      <c r="V37">
        <f t="shared" si="6"/>
        <v>151</v>
      </c>
      <c r="W37">
        <f t="shared" si="7"/>
        <v>0</v>
      </c>
      <c r="X37">
        <v>0</v>
      </c>
      <c r="Y37">
        <f t="shared" si="8"/>
        <v>0</v>
      </c>
      <c r="Z37">
        <f t="shared" si="9"/>
        <v>1</v>
      </c>
      <c r="AA37">
        <v>1</v>
      </c>
      <c r="AB37">
        <f t="shared" si="10"/>
        <v>2</v>
      </c>
      <c r="AP37" t="s">
        <v>14</v>
      </c>
      <c r="AQ37">
        <v>0.05</v>
      </c>
    </row>
    <row r="38" spans="19:43" x14ac:dyDescent="0.25">
      <c r="S38" s="14" t="s">
        <v>7</v>
      </c>
      <c r="T38" t="e">
        <f t="shared" si="5"/>
        <v>#N/A</v>
      </c>
      <c r="U38" t="e">
        <v>#N/A</v>
      </c>
      <c r="V38" t="e">
        <f t="shared" si="6"/>
        <v>#N/A</v>
      </c>
      <c r="W38" t="e">
        <f t="shared" si="7"/>
        <v>#N/A</v>
      </c>
      <c r="X38" t="e">
        <v>#N/A</v>
      </c>
      <c r="Y38" t="e">
        <f t="shared" si="8"/>
        <v>#N/A</v>
      </c>
      <c r="Z38" t="e">
        <f t="shared" si="9"/>
        <v>#N/A</v>
      </c>
      <c r="AA38" t="e">
        <v>#N/A</v>
      </c>
      <c r="AB38" t="e">
        <f t="shared" si="10"/>
        <v>#N/A</v>
      </c>
      <c r="AP38" s="3" t="s">
        <v>56</v>
      </c>
      <c r="AQ38">
        <v>0.13</v>
      </c>
    </row>
    <row r="39" spans="19:43" x14ac:dyDescent="0.25">
      <c r="S39" s="3" t="s">
        <v>11</v>
      </c>
      <c r="T39">
        <f t="shared" si="5"/>
        <v>0</v>
      </c>
      <c r="U39">
        <v>26</v>
      </c>
      <c r="V39">
        <f t="shared" si="6"/>
        <v>26</v>
      </c>
      <c r="W39">
        <f t="shared" si="7"/>
        <v>0</v>
      </c>
      <c r="X39">
        <v>0</v>
      </c>
      <c r="Y39">
        <f t="shared" si="8"/>
        <v>0</v>
      </c>
      <c r="Z39">
        <f t="shared" si="9"/>
        <v>0</v>
      </c>
      <c r="AA39">
        <v>0</v>
      </c>
      <c r="AB39">
        <f t="shared" si="10"/>
        <v>0</v>
      </c>
      <c r="AP39" t="s">
        <v>52</v>
      </c>
      <c r="AQ39">
        <v>0.15</v>
      </c>
    </row>
    <row r="40" spans="19:43" x14ac:dyDescent="0.25">
      <c r="S40" s="14" t="s">
        <v>24</v>
      </c>
      <c r="T40">
        <f t="shared" si="5"/>
        <v>4</v>
      </c>
      <c r="U40">
        <v>127</v>
      </c>
      <c r="V40">
        <f t="shared" si="6"/>
        <v>131</v>
      </c>
      <c r="W40">
        <f t="shared" si="7"/>
        <v>0</v>
      </c>
      <c r="X40">
        <v>1</v>
      </c>
      <c r="Y40">
        <f t="shared" si="8"/>
        <v>1</v>
      </c>
      <c r="Z40">
        <f t="shared" si="9"/>
        <v>0</v>
      </c>
      <c r="AA40">
        <v>1</v>
      </c>
      <c r="AB40">
        <f t="shared" si="10"/>
        <v>1</v>
      </c>
      <c r="AP40" t="s">
        <v>4</v>
      </c>
      <c r="AQ40">
        <v>0.28000000000000003</v>
      </c>
    </row>
    <row r="41" spans="19:43" x14ac:dyDescent="0.25">
      <c r="S41" s="3" t="s">
        <v>27</v>
      </c>
      <c r="T41" t="e">
        <f t="shared" si="5"/>
        <v>#N/A</v>
      </c>
      <c r="U41" t="e">
        <v>#N/A</v>
      </c>
      <c r="V41" t="e">
        <f t="shared" si="6"/>
        <v>#N/A</v>
      </c>
      <c r="W41" t="e">
        <f t="shared" si="7"/>
        <v>#N/A</v>
      </c>
      <c r="X41" t="e">
        <v>#N/A</v>
      </c>
      <c r="Y41" t="e">
        <f t="shared" si="8"/>
        <v>#N/A</v>
      </c>
      <c r="Z41" t="e">
        <f t="shared" si="9"/>
        <v>#N/A</v>
      </c>
      <c r="AA41" t="e">
        <v>#N/A</v>
      </c>
      <c r="AB41" t="e">
        <f t="shared" si="10"/>
        <v>#N/A</v>
      </c>
      <c r="AP41" s="3" t="s">
        <v>53</v>
      </c>
      <c r="AQ41">
        <v>0.17</v>
      </c>
    </row>
    <row r="42" spans="19:43" x14ac:dyDescent="0.25">
      <c r="S42" s="3" t="s">
        <v>74</v>
      </c>
      <c r="T42">
        <f t="shared" si="5"/>
        <v>0</v>
      </c>
      <c r="U42">
        <v>77</v>
      </c>
      <c r="V42">
        <f t="shared" si="6"/>
        <v>77</v>
      </c>
      <c r="W42">
        <f t="shared" si="7"/>
        <v>0</v>
      </c>
      <c r="X42">
        <v>0</v>
      </c>
      <c r="Y42">
        <f t="shared" si="8"/>
        <v>0</v>
      </c>
      <c r="Z42">
        <f t="shared" si="9"/>
        <v>0</v>
      </c>
      <c r="AA42">
        <v>1</v>
      </c>
      <c r="AB42">
        <f t="shared" si="10"/>
        <v>1</v>
      </c>
      <c r="AP42" s="3" t="s">
        <v>19</v>
      </c>
      <c r="AQ42">
        <v>0.14000000000000001</v>
      </c>
    </row>
    <row r="43" spans="19:43" x14ac:dyDescent="0.25">
      <c r="S43" s="14" t="s">
        <v>68</v>
      </c>
      <c r="T43">
        <f t="shared" si="5"/>
        <v>0</v>
      </c>
      <c r="U43">
        <v>71</v>
      </c>
      <c r="V43">
        <f t="shared" si="6"/>
        <v>71</v>
      </c>
      <c r="W43">
        <f t="shared" si="7"/>
        <v>0</v>
      </c>
      <c r="X43">
        <v>0</v>
      </c>
      <c r="Y43">
        <f t="shared" si="8"/>
        <v>0</v>
      </c>
      <c r="Z43">
        <f t="shared" si="9"/>
        <v>0</v>
      </c>
      <c r="AA43">
        <v>1</v>
      </c>
      <c r="AB43">
        <f t="shared" si="10"/>
        <v>1</v>
      </c>
      <c r="AP43" t="s">
        <v>63</v>
      </c>
      <c r="AQ43">
        <v>0.28499999999999998</v>
      </c>
    </row>
    <row r="44" spans="19:43" x14ac:dyDescent="0.25">
      <c r="S44" s="3" t="s">
        <v>6</v>
      </c>
      <c r="T44" t="e">
        <f t="shared" si="5"/>
        <v>#N/A</v>
      </c>
      <c r="U44" t="e">
        <v>#N/A</v>
      </c>
      <c r="V44" t="e">
        <f t="shared" si="6"/>
        <v>#N/A</v>
      </c>
      <c r="W44" t="e">
        <f t="shared" si="7"/>
        <v>#N/A</v>
      </c>
      <c r="X44" t="e">
        <v>#N/A</v>
      </c>
      <c r="Y44" t="e">
        <f t="shared" si="8"/>
        <v>#N/A</v>
      </c>
      <c r="Z44" t="e">
        <f t="shared" si="9"/>
        <v>#N/A</v>
      </c>
      <c r="AA44" t="e">
        <v>#N/A</v>
      </c>
      <c r="AB44" t="e">
        <f t="shared" si="10"/>
        <v>#N/A</v>
      </c>
      <c r="AP44" t="s">
        <v>12</v>
      </c>
      <c r="AQ44">
        <v>0.37</v>
      </c>
    </row>
    <row r="45" spans="19:43" x14ac:dyDescent="0.25">
      <c r="S45" s="3" t="s">
        <v>57</v>
      </c>
      <c r="T45">
        <f t="shared" si="5"/>
        <v>0</v>
      </c>
      <c r="U45">
        <v>91</v>
      </c>
      <c r="V45">
        <f t="shared" si="6"/>
        <v>91</v>
      </c>
      <c r="W45">
        <f t="shared" si="7"/>
        <v>0</v>
      </c>
      <c r="X45">
        <v>0</v>
      </c>
      <c r="Y45">
        <f t="shared" si="8"/>
        <v>0</v>
      </c>
      <c r="Z45">
        <f t="shared" si="9"/>
        <v>0</v>
      </c>
      <c r="AA45">
        <v>1</v>
      </c>
      <c r="AB45">
        <f t="shared" si="10"/>
        <v>1</v>
      </c>
      <c r="AP45" s="3" t="s">
        <v>65</v>
      </c>
      <c r="AQ45">
        <v>0.13</v>
      </c>
    </row>
    <row r="46" spans="19:43" x14ac:dyDescent="0.25">
      <c r="S46" s="3" t="s">
        <v>19</v>
      </c>
      <c r="T46">
        <f t="shared" si="5"/>
        <v>43</v>
      </c>
      <c r="U46">
        <v>93</v>
      </c>
      <c r="V46">
        <f t="shared" si="6"/>
        <v>136</v>
      </c>
      <c r="W46">
        <f t="shared" si="7"/>
        <v>0</v>
      </c>
      <c r="X46">
        <v>0</v>
      </c>
      <c r="Y46">
        <f t="shared" si="8"/>
        <v>0</v>
      </c>
      <c r="Z46">
        <f t="shared" si="9"/>
        <v>1</v>
      </c>
      <c r="AA46">
        <v>2</v>
      </c>
      <c r="AB46">
        <f t="shared" si="10"/>
        <v>3</v>
      </c>
      <c r="AP46" s="14" t="s">
        <v>55</v>
      </c>
      <c r="AQ46">
        <v>0.08</v>
      </c>
    </row>
    <row r="47" spans="19:43" x14ac:dyDescent="0.25">
      <c r="S47" s="3" t="s">
        <v>56</v>
      </c>
      <c r="T47">
        <f t="shared" si="5"/>
        <v>21</v>
      </c>
      <c r="U47">
        <v>110</v>
      </c>
      <c r="V47">
        <f t="shared" si="6"/>
        <v>131</v>
      </c>
      <c r="W47">
        <f t="shared" si="7"/>
        <v>0</v>
      </c>
      <c r="X47">
        <v>1</v>
      </c>
      <c r="Y47">
        <f t="shared" si="8"/>
        <v>1</v>
      </c>
      <c r="Z47">
        <f t="shared" si="9"/>
        <v>0</v>
      </c>
      <c r="AA47">
        <v>1</v>
      </c>
      <c r="AB47">
        <f t="shared" si="10"/>
        <v>1</v>
      </c>
      <c r="AP47" s="14" t="s">
        <v>59</v>
      </c>
      <c r="AQ47">
        <v>0.26</v>
      </c>
    </row>
    <row r="48" spans="19:43" x14ac:dyDescent="0.25">
      <c r="S48" s="3" t="s">
        <v>54</v>
      </c>
      <c r="T48" t="e">
        <f t="shared" si="5"/>
        <v>#N/A</v>
      </c>
      <c r="U48" t="e">
        <v>#N/A</v>
      </c>
      <c r="V48" t="e">
        <f t="shared" si="6"/>
        <v>#N/A</v>
      </c>
      <c r="W48" t="e">
        <f t="shared" si="7"/>
        <v>#N/A</v>
      </c>
      <c r="X48" t="e">
        <v>#N/A</v>
      </c>
      <c r="Y48" t="e">
        <f t="shared" si="8"/>
        <v>#N/A</v>
      </c>
      <c r="Z48" t="e">
        <f t="shared" si="9"/>
        <v>#N/A</v>
      </c>
      <c r="AA48" t="e">
        <v>#N/A</v>
      </c>
      <c r="AB48" t="e">
        <f t="shared" si="10"/>
        <v>#N/A</v>
      </c>
      <c r="AP48" s="3" t="s">
        <v>61</v>
      </c>
      <c r="AQ48">
        <v>0.1</v>
      </c>
    </row>
    <row r="49" spans="19:43" x14ac:dyDescent="0.25">
      <c r="S49" s="3" t="s">
        <v>26</v>
      </c>
      <c r="T49">
        <f t="shared" si="5"/>
        <v>0</v>
      </c>
      <c r="U49">
        <v>21</v>
      </c>
      <c r="V49">
        <f t="shared" si="6"/>
        <v>21</v>
      </c>
      <c r="W49">
        <f t="shared" si="7"/>
        <v>0</v>
      </c>
      <c r="X49">
        <v>0</v>
      </c>
      <c r="Y49">
        <f t="shared" si="8"/>
        <v>0</v>
      </c>
      <c r="Z49">
        <f t="shared" si="9"/>
        <v>0</v>
      </c>
      <c r="AA49">
        <v>0</v>
      </c>
      <c r="AB49">
        <f t="shared" si="10"/>
        <v>0</v>
      </c>
      <c r="AP49" s="3" t="s">
        <v>71</v>
      </c>
      <c r="AQ49">
        <v>0.14000000000000001</v>
      </c>
    </row>
    <row r="50" spans="19:43" x14ac:dyDescent="0.25">
      <c r="S50" s="3" t="s">
        <v>64</v>
      </c>
      <c r="T50" t="e">
        <f t="shared" si="5"/>
        <v>#N/A</v>
      </c>
      <c r="U50" t="e">
        <v>#N/A</v>
      </c>
      <c r="V50" t="e">
        <f t="shared" si="6"/>
        <v>#N/A</v>
      </c>
      <c r="W50" t="e">
        <f t="shared" si="7"/>
        <v>#N/A</v>
      </c>
      <c r="X50" t="e">
        <v>#N/A</v>
      </c>
      <c r="Y50" t="e">
        <f t="shared" si="8"/>
        <v>#N/A</v>
      </c>
      <c r="Z50" t="e">
        <f t="shared" si="9"/>
        <v>#N/A</v>
      </c>
      <c r="AA50" t="e">
        <v>#N/A</v>
      </c>
      <c r="AB50" t="e">
        <f t="shared" si="10"/>
        <v>#N/A</v>
      </c>
      <c r="AP50" t="s">
        <v>62</v>
      </c>
      <c r="AQ50">
        <v>0.13</v>
      </c>
    </row>
    <row r="51" spans="19:43" x14ac:dyDescent="0.25">
      <c r="S51" s="3" t="s">
        <v>65</v>
      </c>
      <c r="T51">
        <f t="shared" si="5"/>
        <v>0</v>
      </c>
      <c r="U51">
        <v>154</v>
      </c>
      <c r="V51">
        <f t="shared" si="6"/>
        <v>154</v>
      </c>
      <c r="W51">
        <f t="shared" si="7"/>
        <v>0</v>
      </c>
      <c r="X51">
        <v>1</v>
      </c>
      <c r="Y51">
        <f t="shared" si="8"/>
        <v>1</v>
      </c>
      <c r="Z51">
        <f t="shared" si="9"/>
        <v>0</v>
      </c>
      <c r="AA51">
        <v>3</v>
      </c>
      <c r="AB51">
        <f t="shared" si="10"/>
        <v>3</v>
      </c>
      <c r="AP51" t="s">
        <v>13</v>
      </c>
      <c r="AQ51">
        <v>0.33</v>
      </c>
    </row>
    <row r="52" spans="19:43" x14ac:dyDescent="0.25">
      <c r="S52" s="14" t="s">
        <v>72</v>
      </c>
      <c r="T52">
        <f t="shared" si="5"/>
        <v>12</v>
      </c>
      <c r="U52">
        <v>70</v>
      </c>
      <c r="V52">
        <f t="shared" si="6"/>
        <v>82</v>
      </c>
      <c r="W52">
        <f t="shared" si="7"/>
        <v>0</v>
      </c>
      <c r="X52">
        <v>1</v>
      </c>
      <c r="Y52">
        <f t="shared" si="8"/>
        <v>1</v>
      </c>
      <c r="Z52">
        <f t="shared" si="9"/>
        <v>0</v>
      </c>
      <c r="AA52">
        <v>1</v>
      </c>
      <c r="AB52">
        <f t="shared" si="10"/>
        <v>1</v>
      </c>
      <c r="AP52" t="s">
        <v>16</v>
      </c>
      <c r="AQ52">
        <v>0.35</v>
      </c>
    </row>
    <row r="53" spans="19:43" x14ac:dyDescent="0.25">
      <c r="S53" s="3" t="s">
        <v>53</v>
      </c>
      <c r="T53">
        <f t="shared" si="5"/>
        <v>24</v>
      </c>
      <c r="U53">
        <v>86</v>
      </c>
      <c r="V53">
        <f t="shared" si="6"/>
        <v>110</v>
      </c>
      <c r="W53">
        <f t="shared" si="7"/>
        <v>0</v>
      </c>
      <c r="X53">
        <v>0</v>
      </c>
      <c r="Y53">
        <f t="shared" si="8"/>
        <v>0</v>
      </c>
      <c r="Z53">
        <f t="shared" si="9"/>
        <v>0</v>
      </c>
      <c r="AA53">
        <v>1</v>
      </c>
      <c r="AB53">
        <f t="shared" si="10"/>
        <v>1</v>
      </c>
      <c r="AP53" t="s">
        <v>66</v>
      </c>
      <c r="AQ53">
        <v>0.17</v>
      </c>
    </row>
    <row r="54" spans="19:43" x14ac:dyDescent="0.25">
      <c r="S54" s="3" t="s">
        <v>71</v>
      </c>
      <c r="T54">
        <f t="shared" si="5"/>
        <v>50</v>
      </c>
      <c r="U54">
        <v>189</v>
      </c>
      <c r="V54">
        <f t="shared" si="6"/>
        <v>239</v>
      </c>
      <c r="W54">
        <f t="shared" si="7"/>
        <v>1</v>
      </c>
      <c r="X54">
        <v>2</v>
      </c>
      <c r="Y54">
        <f t="shared" si="8"/>
        <v>3</v>
      </c>
      <c r="Z54">
        <f t="shared" si="9"/>
        <v>1</v>
      </c>
      <c r="AA54">
        <v>2</v>
      </c>
      <c r="AB54">
        <f t="shared" si="10"/>
        <v>3</v>
      </c>
      <c r="AP54" t="s">
        <v>3</v>
      </c>
      <c r="AQ54">
        <v>0.23</v>
      </c>
    </row>
  </sheetData>
  <sortState xmlns:xlrd2="http://schemas.microsoft.com/office/spreadsheetml/2017/richdata2" ref="I3:J28">
    <sortCondition descending="1" ref="J3"/>
  </sortState>
  <mergeCells count="1">
    <mergeCell ref="E10:F10"/>
  </mergeCells>
  <conditionalFormatting sqref="C3">
    <cfRule type="duplicateValues" dxfId="24" priority="37"/>
  </conditionalFormatting>
  <conditionalFormatting sqref="C4">
    <cfRule type="duplicateValues" dxfId="23" priority="36"/>
  </conditionalFormatting>
  <conditionalFormatting sqref="C5">
    <cfRule type="duplicateValues" dxfId="22" priority="35"/>
  </conditionalFormatting>
  <conditionalFormatting sqref="C19:C28">
    <cfRule type="duplicateValues" dxfId="21" priority="34"/>
  </conditionalFormatting>
  <conditionalFormatting sqref="S29:S54">
    <cfRule type="top10" dxfId="20" priority="27" bottom="1" rank="3"/>
    <cfRule type="top10" dxfId="19" priority="28" bottom="1" rank="7"/>
  </conditionalFormatting>
  <conditionalFormatting sqref="S29:S54">
    <cfRule type="duplicateValues" dxfId="18" priority="26"/>
  </conditionalFormatting>
  <conditionalFormatting sqref="S29:S54">
    <cfRule type="duplicateValues" dxfId="17" priority="25"/>
  </conditionalFormatting>
  <conditionalFormatting sqref="S29:S54">
    <cfRule type="duplicateValues" dxfId="16" priority="24"/>
  </conditionalFormatting>
  <conditionalFormatting sqref="S29:S54">
    <cfRule type="duplicateValues" dxfId="15" priority="23"/>
  </conditionalFormatting>
  <conditionalFormatting sqref="I3:I28">
    <cfRule type="duplicateValues" dxfId="14" priority="16"/>
  </conditionalFormatting>
  <conditionalFormatting sqref="I3:I28">
    <cfRule type="duplicateValues" dxfId="13" priority="15"/>
  </conditionalFormatting>
  <conditionalFormatting sqref="I3:I28">
    <cfRule type="duplicateValues" dxfId="12" priority="14"/>
  </conditionalFormatting>
  <conditionalFormatting sqref="I3:I28">
    <cfRule type="duplicateValues" dxfId="11" priority="13"/>
  </conditionalFormatting>
  <conditionalFormatting sqref="G3:G28">
    <cfRule type="cellIs" dxfId="10" priority="9" operator="greaterThan">
      <formula>0</formula>
    </cfRule>
    <cfRule type="cellIs" dxfId="9" priority="10" operator="equal">
      <formula>0</formula>
    </cfRule>
  </conditionalFormatting>
  <conditionalFormatting sqref="G2:G28">
    <cfRule type="cellIs" dxfId="8" priority="11" operator="lessThan">
      <formula>0</formula>
    </cfRule>
  </conditionalFormatting>
  <conditionalFormatting sqref="J3:J28">
    <cfRule type="top10" dxfId="7" priority="7" rank="3"/>
    <cfRule type="top10" dxfId="6" priority="8" rank="7"/>
  </conditionalFormatting>
  <conditionalFormatting sqref="AP29:AP54">
    <cfRule type="top10" dxfId="5" priority="5" bottom="1" rank="3"/>
    <cfRule type="top10" dxfId="4" priority="6" bottom="1" rank="7"/>
  </conditionalFormatting>
  <conditionalFormatting sqref="AP29:AP54">
    <cfRule type="duplicateValues" dxfId="3" priority="4"/>
  </conditionalFormatting>
  <conditionalFormatting sqref="AP29:AP54">
    <cfRule type="duplicateValues" dxfId="2" priority="3"/>
  </conditionalFormatting>
  <conditionalFormatting sqref="AP29:AP54">
    <cfRule type="duplicateValues" dxfId="1" priority="2"/>
  </conditionalFormatting>
  <conditionalFormatting sqref="AP29:AP54">
    <cfRule type="duplicateValues" dxfId="0"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NewSeason">
                <anchor moveWithCells="1" sizeWithCells="1">
                  <from>
                    <xdr:col>4</xdr:col>
                    <xdr:colOff>390525</xdr:colOff>
                    <xdr:row>5</xdr:row>
                    <xdr:rowOff>133350</xdr:rowOff>
                  </from>
                  <to>
                    <xdr:col>5</xdr:col>
                    <xdr:colOff>581025</xdr:colOff>
                    <xdr:row>8</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3" id="{F56D7BC7-5613-4603-8303-329F0289F3A9}">
            <x14:iconSet iconSet="3Triangles">
              <x14:cfvo type="percent">
                <xm:f>0</xm:f>
              </x14:cfvo>
              <x14:cfvo type="percent">
                <xm:f>33</xm:f>
              </x14:cfvo>
              <x14:cfvo type="percent">
                <xm:f>67</xm:f>
              </x14:cfvo>
            </x14:iconSet>
          </x14:cfRule>
          <xm:sqref>AJ7</xm:sqref>
        </x14:conditionalFormatting>
        <x14:conditionalFormatting xmlns:xm="http://schemas.microsoft.com/office/excel/2006/main">
          <x14:cfRule type="iconSet" priority="12" id="{6AD0EC1F-A67A-4A6E-9EB1-D6BF6C019F46}">
            <x14:iconSet iconSet="3Triangles">
              <x14:cfvo type="percent">
                <xm:f>0</xm:f>
              </x14:cfvo>
              <x14:cfvo type="num">
                <xm:f>0</xm:f>
              </x14:cfvo>
              <x14:cfvo type="num">
                <xm:f>1</xm:f>
              </x14:cfvo>
            </x14:iconSet>
          </x14:cfRule>
          <xm:sqref>G3:G28</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Team Select &lt;WIP&gt;</vt:lpstr>
      <vt:lpstr>TeamData</vt:lpstr>
      <vt:lpstr>WSR</vt:lpstr>
      <vt:lpstr>WSR 2</vt:lpstr>
      <vt:lpstr>WSR_Teamlist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Oh Yu Xiang</dc:creator>
  <cp:lastModifiedBy>Oh Yu Xiang</cp:lastModifiedBy>
  <dcterms:created xsi:type="dcterms:W3CDTF">2017-07-06T07:15:20Z</dcterms:created>
  <dcterms:modified xsi:type="dcterms:W3CDTF">2020-09-10T02:14:04Z</dcterms:modified>
</cp:coreProperties>
</file>